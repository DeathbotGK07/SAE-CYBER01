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7"/>
  <workbookPr filterPrivacy="1" defaultThemeVersion="124226"/>
  <xr:revisionPtr revIDLastSave="0" documentId="8_{22F95796-4D93-4D3A-BCAC-59E6ED6524B7}" xr6:coauthVersionLast="47" xr6:coauthVersionMax="47" xr10:uidLastSave="{00000000-0000-0000-0000-000000000000}"/>
  <bookViews>
    <workbookView xWindow="0" yWindow="500" windowWidth="28800" windowHeight="16460" tabRatio="813" firstSheet="1" activeTab="1" xr2:uid="{00000000-000D-0000-FFFF-FFFF00000000}"/>
  </bookViews>
  <sheets>
    <sheet name="Licence &amp; Version de document" sheetId="7" r:id="rId1"/>
    <sheet name="Recommandations guide ANSSI" sheetId="1" r:id="rId2"/>
    <sheet name="Taux de couverture guide ANSSI" sheetId="9" r:id="rId3"/>
    <sheet name="Référence" sheetId="8" r:id="rId4"/>
  </sheets>
  <definedNames>
    <definedName name="Entité">#REF!</definedName>
    <definedName name="ouinon">Référence!$B$6:$B$8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9" l="1"/>
  <c r="C27" i="9"/>
  <c r="C28" i="9"/>
  <c r="C29" i="9"/>
  <c r="C30" i="9"/>
</calcChain>
</file>

<file path=xl/sharedStrings.xml><?xml version="1.0" encoding="utf-8"?>
<sst xmlns="http://schemas.openxmlformats.org/spreadsheetml/2006/main" count="458" uniqueCount="215">
  <si>
    <t>* Licence ouverte / Open Licence v2.0.
Page web, Mission Etalab, avril 2017.
https://www.etalab.gouv.fr/licence-ouverte-open-licence.</t>
  </si>
  <si>
    <t>VERSION</t>
  </si>
  <si>
    <t>DATE</t>
  </si>
  <si>
    <t>NATURE DES MODIFICATIONS</t>
  </si>
  <si>
    <t>1.0</t>
  </si>
  <si>
    <t>Version initiale</t>
  </si>
  <si>
    <t>Identifiant</t>
  </si>
  <si>
    <t>Intitulé de la recommandation</t>
  </si>
  <si>
    <t>Associée à une exigence d'une règle</t>
  </si>
  <si>
    <t>Mesure retenue, exclue ou non applicable ?</t>
  </si>
  <si>
    <t>Niveau de mise en œuvre</t>
  </si>
  <si>
    <t>Plan d'action / Commentaires</t>
  </si>
  <si>
    <t>Justification en cas d'exclusion ou de non applicabilité de la mesure</t>
  </si>
  <si>
    <t>R1</t>
  </si>
  <si>
    <t>Modifier les éléments de configuration par défaut</t>
  </si>
  <si>
    <t>Oui</t>
  </si>
  <si>
    <t>Retenue</t>
  </si>
  <si>
    <t>Totalement mis en œuvre</t>
  </si>
  <si>
    <t>Changement des hostnames, désactivation de HTTP au profit de HTTPS, et changement des mots de passe "cisco/admin" par défaut.</t>
  </si>
  <si>
    <t>R1-</t>
  </si>
  <si>
    <t>Pallier l’impossibilité de changer un élément par défaut</t>
  </si>
  <si>
    <t>Non</t>
  </si>
  <si>
    <t>Exclue</t>
  </si>
  <si>
    <t>Problème !</t>
  </si>
  <si>
    <t>Si un mot de passe est "hardcodé", il faut isoler l'équipement dans un VLAN mort ou restreindre son accès via une ACL.</t>
  </si>
  <si>
    <t>R2</t>
  </si>
  <si>
    <t>Installer uniquement les services ou fonctionnalités indispensables</t>
  </si>
  <si>
    <t>Installation unique des services indispensable.</t>
  </si>
  <si>
    <t>R2-</t>
  </si>
  <si>
    <t>Pallier l’impossibilité de désinstaller un service non indispensable</t>
  </si>
  <si>
    <t>n.a.</t>
  </si>
  <si>
    <t>R3</t>
  </si>
  <si>
    <t>Définir et utiliser des configurations de référence</t>
  </si>
  <si>
    <t>acune reference utiliser lors de la configuration des equipement réseaux</t>
  </si>
  <si>
    <t>R4</t>
  </si>
  <si>
    <t>Établir un inventaire technique des éléments et des accès au SIE</t>
  </si>
  <si>
    <t>L'inventaire est implicite via le schéma Packet Tracer ; pas de base de données d'inventaire séparée.</t>
  </si>
  <si>
    <t>R5</t>
  </si>
  <si>
    <t>Utiliser uniquement des équipements maîtrisés</t>
  </si>
  <si>
    <t>Dans le cadre académique, les images IOS (systèmes des routeurs) sont imposées par le logiciel de simulation.</t>
  </si>
  <si>
    <t>R6</t>
  </si>
  <si>
    <t>Dédier aux SIE des supports amovibles identifiés</t>
  </si>
  <si>
    <t>R7</t>
  </si>
  <si>
    <t>Décontaminer les supports amovibles avant leur utilisation</t>
  </si>
  <si>
    <t>R7+</t>
  </si>
  <si>
    <t>Utiliser un équipement dédié à l’analyse des supports amovibles</t>
  </si>
  <si>
    <t>R8</t>
  </si>
  <si>
    <t>Mettre en œuvre une traçabilité de l’utilisation des supports amovibles</t>
  </si>
  <si>
    <t>R8+</t>
  </si>
  <si>
    <t>Mettre en œuvre un outil de protection contre l’exfiltration de données</t>
  </si>
  <si>
    <t>R9</t>
  </si>
  <si>
    <t>Segmenter le SI en systèmes et sous-systèmes</t>
  </si>
  <si>
    <t>Création de 3 VLANs distincts par site : Service, Production et Admin pour isoler les métiers.</t>
  </si>
  <si>
    <t>R10</t>
  </si>
  <si>
    <t>Autoriser les interconnexions suivant le besoin de fonctionnement</t>
  </si>
  <si>
    <t>Seul le flux Admin est autorisé à traverser le tunnel vers l'autre site.</t>
  </si>
  <si>
    <t>R11</t>
  </si>
  <si>
    <t>Mettre en place un cloisonnement physique</t>
  </si>
  <si>
    <t>Mise en œuvre du protocole HTTPS (port 443) avec certificats TLS pour l'accès aux serveurs web.</t>
  </si>
  <si>
    <t>R11-</t>
  </si>
  <si>
    <t>Mettre en place un cloisonnement logique par le chiffre</t>
  </si>
  <si>
    <t>R11- -</t>
  </si>
  <si>
    <t>Mettre en place un cloisonnement logique</t>
  </si>
  <si>
    <t>R12</t>
  </si>
  <si>
    <t>Chiffrer les données en amont du stockage avec des secrets distincts</t>
  </si>
  <si>
    <t>R13</t>
  </si>
  <si>
    <t>Contrôler le cloisonnement mis en place en cas d’externalisation</t>
  </si>
  <si>
    <t>R14</t>
  </si>
  <si>
    <t>Infrastructures numériques : cloisonner les services internes</t>
  </si>
  <si>
    <t>Utilisation d'un tunnel GRE pour le routage entre sites, encapsulé dans un tunnel IPsec pour le chiffrement.</t>
  </si>
  <si>
    <t>R15</t>
  </si>
  <si>
    <t>Segmenter les SIE publics en au moins deux sous-systèmes</t>
  </si>
  <si>
    <t>R16</t>
  </si>
  <si>
    <t>Accès public : chiffrer et authentifier les flux au niveau applicatif</t>
  </si>
  <si>
    <t>Mise en place d'ACLs (Access Control Lists) sur les interfaces des routeurs pour bloquer les flux non autorisés.</t>
  </si>
  <si>
    <t>R17</t>
  </si>
  <si>
    <t>Accès public : authentifier les utilisateurs</t>
  </si>
  <si>
    <t>Packet Tracer ne permet pas d'intégrer nativement des serveurs d'authentification multifacteur (type Radius/OTP).</t>
  </si>
  <si>
    <t>R17+</t>
  </si>
  <si>
    <t>Accès public : authentifier les utilisateurs avec deux facteurs</t>
  </si>
  <si>
    <t>R18</t>
  </si>
  <si>
    <t>Accès nomade : mettre en place un tunnel chiffré et authentifié</t>
  </si>
  <si>
    <t>R19</t>
  </si>
  <si>
    <t>Accès nomade : authentifier les utilisateurs avec deux facteurs</t>
  </si>
  <si>
    <t>R20</t>
  </si>
  <si>
    <t>Accès nomade : chiffrer intégralement le disque du poste</t>
  </si>
  <si>
    <t>Limitation logicielle : les terminaux (End Devices) de Packet Tracer ne simulent pas le chiffrement de partition.</t>
  </si>
  <si>
    <t>R21</t>
  </si>
  <si>
    <t>Accès nomade : utiliser des filtres de confidentialité</t>
  </si>
  <si>
    <t>R22</t>
  </si>
  <si>
    <t>Accès interne : mettre en place un tunnel chiffré et authentifié</t>
  </si>
  <si>
    <t>Les communications entre le site A et le site B sont chiffrées en AES-256 via IPsec.</t>
  </si>
  <si>
    <t>R23</t>
  </si>
  <si>
    <t>Filtrer les flux aux interconnexions entre les systèmes et entre les sous-systèmes</t>
  </si>
  <si>
    <t>R23+</t>
  </si>
  <si>
    <t>Filtrer les flux aux extrémités des communications</t>
  </si>
  <si>
    <t>R24</t>
  </si>
  <si>
    <t>Définir les besoins de filtrage sur le SIE</t>
  </si>
  <si>
    <t>Seuls les ports 80/443 (Web) et 53 (DNS) sont ouverts sur les zones serveurs.</t>
  </si>
  <si>
    <t>R25</t>
  </si>
  <si>
    <t>Formaliser les règles de filtrage</t>
  </si>
  <si>
    <t>R26</t>
  </si>
  <si>
    <t>Passer régulièrement en revue les règles de filtrage</t>
  </si>
  <si>
    <t>R27</t>
  </si>
  <si>
    <t>Mettre en œuvre le filtrage grâce à des équipements spécialisés</t>
  </si>
  <si>
    <t>R28</t>
  </si>
  <si>
    <t>Bloquer tous les flux non explicitement autorisés</t>
  </si>
  <si>
    <t>Activation de DNSSEC pour garantir l'intégrité des réponses DNS et éviter le cache poisoning.</t>
  </si>
  <si>
    <t>R29</t>
  </si>
  <si>
    <t>Utiliser des comptes d’administration dédiés</t>
  </si>
  <si>
    <t xml:space="preserve">compte admin non mis en place du a packet tracer </t>
  </si>
  <si>
    <t>R29-</t>
  </si>
  <si>
    <t>Pallier l’absence de comptes dédiés à l’administration</t>
  </si>
  <si>
    <t>R30</t>
  </si>
  <si>
    <t>Utiliser par défaut des comptes d’administration individuels</t>
  </si>
  <si>
    <t>R31</t>
  </si>
  <si>
    <t>Attribuer les droits d’administration à des groupes</t>
  </si>
  <si>
    <t>R32</t>
  </si>
  <si>
    <t>Protéger l’accès aux annuaires des comptes d’administration</t>
  </si>
  <si>
    <t>Utilisation de HTTPS pour l'interface de gestion.</t>
  </si>
  <si>
    <t>R33</t>
  </si>
  <si>
    <t>Renforcer l’authentification pour les comptes d’administration</t>
  </si>
  <si>
    <t>R34</t>
  </si>
  <si>
    <t>Empêcher le stockage des secrets d’authentification dans les journaux</t>
  </si>
  <si>
    <t>R35</t>
  </si>
  <si>
    <t>Respecter le principe du moindre privilège dans l’attribution des droits d’administration</t>
  </si>
  <si>
    <t>Les utilisateurs des VLANs Service et Production n'ont aucun droit d'accès aux configurations réseaux.</t>
  </si>
  <si>
    <t>R36</t>
  </si>
  <si>
    <t>N’utiliser que des équipements maîtrisés pour l’administration</t>
  </si>
  <si>
    <t>R37</t>
  </si>
  <si>
    <t>Utiliser un poste d’administration dédié</t>
  </si>
  <si>
    <t>config fais sur packet tracer pas de post dedié</t>
  </si>
  <si>
    <t>R37-</t>
  </si>
  <si>
    <t>Accéder aux autres environnements de travail depuis le poste d’administration</t>
  </si>
  <si>
    <t>R38</t>
  </si>
  <si>
    <t>Renforcer la sécurité du poste d’administration</t>
  </si>
  <si>
    <t>R39</t>
  </si>
  <si>
    <t>Connecter les ressources d’administration sur un réseau physique dédié</t>
  </si>
  <si>
    <t>R39-</t>
  </si>
  <si>
    <t>Connecter les ressources d’administration sur un réseau VPN IPsec dédié</t>
  </si>
  <si>
    <t>L'administration inter-sites passe exclusivement par le tunnel VPN IPsec configuré sur les routeurs.</t>
  </si>
  <si>
    <t>R39- -</t>
  </si>
  <si>
    <t>Pallier l’absence de chiffrement des flux d’administration</t>
  </si>
  <si>
    <t>R40</t>
  </si>
  <si>
    <t>Dédier une interface réseau physique d’administration</t>
  </si>
  <si>
    <t>R40-</t>
  </si>
  <si>
    <t>Dédier une interface réseau virtuelle d’administration</t>
  </si>
  <si>
    <t>R41</t>
  </si>
  <si>
    <t>Cloisonner et filtrer le réseau d’administration</t>
  </si>
  <si>
    <t>R42</t>
  </si>
  <si>
    <t>Utiliser des protocoles sécurisés pour l’administration</t>
  </si>
  <si>
    <t xml:space="preserve">SSH non activer </t>
  </si>
  <si>
    <t>R43</t>
  </si>
  <si>
    <t>Administrer des SI différents avec des serveurs outils différents</t>
  </si>
  <si>
    <t>R44</t>
  </si>
  <si>
    <t>Utiliser des comptes individuels</t>
  </si>
  <si>
    <t>R44-</t>
  </si>
  <si>
    <t>Pallier l’absence de comptes individuels</t>
  </si>
  <si>
    <t>R45</t>
  </si>
  <si>
    <t>Désactiver les comptes inutilisés</t>
  </si>
  <si>
    <t>R46</t>
  </si>
  <si>
    <t>Mettre en œuvre un mécanisme d’authentification pour chaque compte</t>
  </si>
  <si>
    <t>R47</t>
  </si>
  <si>
    <t>Établir une politique de gestion des secrets d’authentification</t>
  </si>
  <si>
    <t>R48</t>
  </si>
  <si>
    <t>Interdire le partage de secrets d’authentification</t>
  </si>
  <si>
    <t>R48-</t>
  </si>
  <si>
    <t>Protéger les secrets d’authentification des comptes partagés</t>
  </si>
  <si>
    <t>R49</t>
  </si>
  <si>
    <t>Dédier un mot de passe à chaque compte privilégié</t>
  </si>
  <si>
    <t xml:space="preserve">pas de compte privilegier donc pas de mdp </t>
  </si>
  <si>
    <t>R50</t>
  </si>
  <si>
    <t>Stocker les mots de passe dans un coffre-fort de mots de passe</t>
  </si>
  <si>
    <t>Gestion manuelle des secrets pour la démonstration de la SAÉ. Utilisation de enable secret pour la protection locale.</t>
  </si>
  <si>
    <t>R51</t>
  </si>
  <si>
    <t>Renouveler régulièrement les secrets d’authentification</t>
  </si>
  <si>
    <t>R51-</t>
  </si>
  <si>
    <t>Pallier l’impossibilité de modifier un secret d’authentification</t>
  </si>
  <si>
    <t>R52</t>
  </si>
  <si>
    <t>Contrôler le renouvellement et l’accès aux secrets d’authentification</t>
  </si>
  <si>
    <t>R53</t>
  </si>
  <si>
    <t>Renouveler immédiatement des secrets d’authentification</t>
  </si>
  <si>
    <t>R54</t>
  </si>
  <si>
    <t>Définir une politique de gestion des droits d’accès</t>
  </si>
  <si>
    <t>R55</t>
  </si>
  <si>
    <t>Attribuer les droits d’accès suivant le principe du moindre privilège</t>
  </si>
  <si>
    <t>R56</t>
  </si>
  <si>
    <t>Définir une traçabilité des comptes privilégiés</t>
  </si>
  <si>
    <t>L'envoi des logs vers un serveur Syslog externe n'a pas été implémenté pour simplifier la démonstration du tunnel.</t>
  </si>
  <si>
    <t>R57</t>
  </si>
  <si>
    <t>Faire une revue régulière des droits d’accès</t>
  </si>
  <si>
    <t>R58</t>
  </si>
  <si>
    <t>Documenter une politique de MCS</t>
  </si>
  <si>
    <t>Mesure purement administrative et documentaire, hors du périmètre technique de la SAÉ.</t>
  </si>
  <si>
    <t>R59</t>
  </si>
  <si>
    <t>Mettre en place une veille de sécurité</t>
  </si>
  <si>
    <t>Action humaine continue non simulable dans une maquette réseau ponctuelle.</t>
  </si>
  <si>
    <t>R60</t>
  </si>
  <si>
    <t>Obtenir des mises à jour de sécurité officielles</t>
  </si>
  <si>
    <t>Environnement de lab statique. Les versions d'IOS (système Cisco) sont figées par le simulateur.</t>
  </si>
  <si>
    <t>R61</t>
  </si>
  <si>
    <t>Appliquer les mises à jour de sécurité</t>
  </si>
  <si>
    <t>Environnement figé (maquette de démonstration). Les correctifs de sécurité ne sont pas applicables sur Packet Tracer.</t>
  </si>
  <si>
    <t>R62</t>
  </si>
  <si>
    <t>Utiliser des logiciels et des matériels supportés</t>
  </si>
  <si>
    <t>Dépendance directe vis-à-vis des versions logicielles disponibles dans la bibliothèque Cisco Packet Tracer.</t>
  </si>
  <si>
    <t>R62-</t>
  </si>
  <si>
    <t>Pallier l’utilisation de versions obsolètes de logiciels et de matériels</t>
  </si>
  <si>
    <t>Nombre de recommandations ANSSI en fonction de leur niveau de mise en œuvre :</t>
  </si>
  <si>
    <t>Statut</t>
  </si>
  <si>
    <t>Recommandations ANSSI</t>
  </si>
  <si>
    <t>Partiellement mis en œuvre</t>
  </si>
  <si>
    <t>Pas commencé</t>
  </si>
  <si>
    <r>
      <t xml:space="preserve">Valeurs préconfigurées pour les colonnes </t>
    </r>
    <r>
      <rPr>
        <b/>
        <sz val="11"/>
        <color theme="1"/>
        <rFont val="Arial Narrow"/>
        <family val="2"/>
      </rPr>
      <t>Mesure retenue, exclue ou non applicable ?</t>
    </r>
    <r>
      <rPr>
        <sz val="11"/>
        <color theme="1"/>
        <rFont val="Arial Narrow"/>
        <family val="2"/>
      </rPr>
      <t xml:space="preserve"> et </t>
    </r>
    <r>
      <rPr>
        <b/>
        <sz val="11"/>
        <color theme="1"/>
        <rFont val="Arial Narrow"/>
        <family val="2"/>
      </rPr>
      <t>Niveau de mise en œuvre</t>
    </r>
    <r>
      <rPr>
        <sz val="11"/>
        <color theme="1"/>
        <rFont val="Arial Narrow"/>
        <family val="2"/>
      </rPr>
      <t>.</t>
    </r>
  </si>
  <si>
    <t>Ces valeurs, tout comme l'ensemble du présent document, sont personnalisables autant que de besoin.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</si>
</sst>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
  </numFmts>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Narrow"/>
      <family val="2"/>
    </font>
    <font>
      <sz val="11"/>
      <color theme="0"/>
      <name val="Arial Narrow"/>
      <family val="2"/>
    </font>
    <font>
      <b/>
      <sz val="11"/>
      <color theme="0"/>
      <name val="Arial Narrow"/>
      <family val="2"/>
    </font>
    <font>
      <b/>
      <sz val="11"/>
      <color theme="1"/>
      <name val="Arial Narrow"/>
      <family val="2"/>
    </font>
    <font>
      <sz val="12"/>
      <color theme="1"/>
      <name val="Arial Narrow"/>
      <family val="2"/>
    </font>
    <font>
      <i/>
      <sz val="12"/>
      <color theme="1"/>
      <name val="Arial Narrow"/>
      <family val="2"/>
    </font>
    <font>
      <b/>
      <sz val="12"/>
      <color theme="1"/>
      <name val="Arial Narrow"/>
      <family val="2"/>
    </font>
    <font>
      <i/>
      <sz val="11"/>
      <color theme="1"/>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8437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18" fillId="33" borderId="0" xfId="0" applyFont="1" applyFill="1"/>
    <xf numFmtId="0" fontId="20" fillId="34" borderId="0" xfId="0" applyFont="1" applyFill="1" applyAlignment="1">
      <alignment horizontal="center" vertical="center"/>
    </xf>
    <xf numFmtId="0" fontId="21" fillId="33" borderId="0" xfId="0" applyFont="1" applyFill="1"/>
    <xf numFmtId="0" fontId="18" fillId="33" borderId="0" xfId="0" applyFont="1" applyFill="1" applyAlignment="1">
      <alignment horizontal="right"/>
    </xf>
    <xf numFmtId="0" fontId="20" fillId="34" borderId="0" xfId="0" applyFont="1" applyFill="1" applyAlignment="1">
      <alignment horizontal="right" vertical="center"/>
    </xf>
    <xf numFmtId="0" fontId="18" fillId="33" borderId="0" xfId="0" applyFont="1" applyFill="1" applyAlignment="1">
      <alignment horizontal="center"/>
    </xf>
    <xf numFmtId="164" fontId="18" fillId="33" borderId="0" xfId="0" applyNumberFormat="1" applyFont="1" applyFill="1" applyAlignment="1">
      <alignment horizontal="center"/>
    </xf>
    <xf numFmtId="0" fontId="19" fillId="33" borderId="0" xfId="0" applyFont="1" applyFill="1"/>
    <xf numFmtId="0" fontId="25" fillId="33" borderId="0" xfId="0" applyFont="1" applyFill="1"/>
    <xf numFmtId="0" fontId="21" fillId="33" borderId="0" xfId="0" applyFont="1" applyFill="1" applyAlignment="1">
      <alignment wrapText="1"/>
    </xf>
    <xf numFmtId="0" fontId="18" fillId="0" borderId="0" xfId="0" applyFont="1"/>
    <xf numFmtId="0" fontId="18" fillId="35" borderId="0" xfId="0" applyFont="1" applyFill="1"/>
    <xf numFmtId="0" fontId="24" fillId="0" borderId="0" xfId="0" applyFont="1" applyAlignment="1">
      <alignment vertical="top"/>
    </xf>
    <xf numFmtId="0" fontId="24" fillId="0" borderId="0" xfId="0" applyFont="1" applyAlignment="1">
      <alignment vertical="top" wrapText="1"/>
    </xf>
    <xf numFmtId="0" fontId="22" fillId="0" borderId="0" xfId="0" applyFont="1" applyAlignment="1">
      <alignment vertical="top"/>
    </xf>
    <xf numFmtId="0" fontId="18" fillId="0" borderId="0" xfId="0" applyFont="1" applyAlignment="1">
      <alignment vertical="top"/>
    </xf>
    <xf numFmtId="0" fontId="22" fillId="0" borderId="0" xfId="0" applyFont="1" applyAlignment="1">
      <alignment vertical="top" wrapText="1"/>
    </xf>
    <xf numFmtId="0" fontId="23" fillId="33" borderId="0" xfId="0" applyFont="1" applyFill="1" applyAlignment="1">
      <alignment horizontal="lef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0">
    <dxf>
      <font>
        <strike val="0"/>
        <outline val="0"/>
        <shadow val="0"/>
        <u val="none"/>
        <vertAlign val="baseline"/>
        <sz val="11"/>
        <color theme="1"/>
        <name val="Arial Narrow"/>
        <scheme val="none"/>
      </font>
      <numFmt numFmtId="0" formatCode="General"/>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1"/>
        <color theme="1"/>
        <name val="Arial Narrow"/>
        <scheme val="none"/>
      </font>
      <fill>
        <patternFill patternType="none">
          <fgColor indexed="64"/>
          <bgColor indexed="65"/>
        </patternFill>
      </fill>
    </dxf>
    <dxf>
      <font>
        <strike val="0"/>
        <outline val="0"/>
        <shadow val="0"/>
        <u val="none"/>
        <vertAlign val="baseline"/>
        <sz val="12"/>
        <color theme="1"/>
        <name val="Arial Narrow"/>
        <scheme val="none"/>
      </font>
      <numFmt numFmtId="0" formatCode="General"/>
      <alignment horizontal="general" vertical="top" textRotation="0" indent="0" justifyLastLine="0" shrinkToFit="0" readingOrder="0"/>
    </dxf>
    <dxf>
      <font>
        <b val="0"/>
        <i val="0"/>
        <strike val="0"/>
        <condense val="0"/>
        <extend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b val="0"/>
        <i val="0"/>
        <strike val="0"/>
        <condense val="0"/>
        <extend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strike val="0"/>
        <outline val="0"/>
        <shadow val="0"/>
        <u val="none"/>
        <vertAlign val="baseline"/>
        <sz val="12"/>
        <color theme="1"/>
        <name val="Arial Narrow"/>
        <scheme val="none"/>
      </font>
      <alignment horizontal="general" vertical="top" textRotation="0" indent="0" justifyLastLine="0" shrinkToFit="0" readingOrder="0"/>
    </dxf>
    <dxf>
      <font>
        <b/>
        <i val="0"/>
        <strike val="0"/>
        <condense val="0"/>
        <extend val="0"/>
        <outline val="0"/>
        <shadow val="0"/>
        <u val="none"/>
        <vertAlign val="baseline"/>
        <sz val="12"/>
        <color theme="1"/>
        <name val="Arial Narrow"/>
        <scheme val="none"/>
      </font>
      <alignment horizontal="general" vertical="top" textRotation="0" wrapText="1" indent="0" justifyLastLine="0" shrinkToFit="0" readingOrder="0"/>
    </dxf>
    <dxf>
      <fill>
        <patternFill>
          <bgColor rgb="FF92D050"/>
        </patternFill>
      </fill>
    </dxf>
    <dxf>
      <fill>
        <patternFill>
          <bgColor rgb="FFFFC000"/>
        </patternFill>
      </fill>
    </dxf>
    <dxf>
      <fill>
        <patternFill>
          <bgColor rgb="FFFF0000"/>
        </patternFill>
      </fill>
    </dxf>
    <dxf>
      <fill>
        <patternFill>
          <bgColor rgb="FFC00000"/>
        </patternFill>
      </fill>
    </dxf>
    <dxf>
      <fill>
        <patternFill>
          <bgColor rgb="FFCCDCED"/>
        </patternFill>
      </fill>
    </dxf>
    <dxf>
      <fill>
        <patternFill>
          <bgColor theme="0"/>
        </patternFill>
      </fill>
    </dxf>
    <dxf>
      <font>
        <color theme="0"/>
      </font>
      <fill>
        <patternFill>
          <bgColor rgb="FF284370"/>
        </patternFill>
      </fill>
    </dxf>
  </dxfs>
  <tableStyles count="1" defaultTableStyle="TableStyleMedium2" defaultPivotStyle="PivotStyleLight16">
    <tableStyle name="Style de tableau 1" pivot="0" count="3" xr9:uid="{00000000-0011-0000-FFFF-FFFF00000000}">
      <tableStyleElement type="headerRow" dxfId="19"/>
      <tableStyleElement type="firstRowStripe" dxfId="18"/>
      <tableStyleElement type="secondRowStripe" dxfId="17"/>
    </tableStyle>
  </tableStyles>
  <colors>
    <mruColors>
      <color rgb="FF284370"/>
      <color rgb="FFCD92A1"/>
      <color rgb="FFC4322C"/>
      <color rgb="FFCCDCED"/>
      <color rgb="FFE0E3E6"/>
      <color rgb="FFB0B8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39"/>
    </mc:Choice>
    <mc:Fallback>
      <c:style val="39"/>
    </mc:Fallback>
  </mc:AlternateContent>
  <c:chart>
    <c:title>
      <c:tx>
        <c:rich>
          <a:bodyPr/>
          <a:lstStyle/>
          <a:p>
            <a:pPr>
              <a:defRPr/>
            </a:pPr>
            <a:r>
              <a:rPr lang="fr-FR" sz="1400"/>
              <a:t>Taux de couverture des recommandations du guide ANSSI</a:t>
            </a:r>
          </a:p>
          <a:p>
            <a:pPr>
              <a:defRPr/>
            </a:pPr>
            <a:r>
              <a:rPr lang="fr-FR" sz="1800" b="1" i="1" u="none" strike="noStrike" baseline="0">
                <a:effectLst/>
              </a:rPr>
              <a:t>Recommandations pour la protection des systèmes d'information essentiels</a:t>
            </a:r>
            <a:endParaRPr lang="fr-FR" sz="1000"/>
          </a:p>
        </c:rich>
      </c:tx>
      <c:overlay val="0"/>
    </c:title>
    <c:autoTitleDeleted val="0"/>
    <c:plotArea>
      <c:layout/>
      <c:pieChart>
        <c:varyColors val="1"/>
        <c:ser>
          <c:idx val="0"/>
          <c:order val="0"/>
          <c:explosion val="25"/>
          <c:dPt>
            <c:idx val="0"/>
            <c:bubble3D val="0"/>
            <c:spPr>
              <a:solidFill>
                <a:srgbClr val="92D050"/>
              </a:solidFill>
            </c:spPr>
            <c:extLst>
              <c:ext xmlns:c16="http://schemas.microsoft.com/office/drawing/2014/chart" uri="{C3380CC4-5D6E-409C-BE32-E72D297353CC}">
                <c16:uniqueId val="{00000001-8472-1E4E-B339-D48FFCA69402}"/>
              </c:ext>
            </c:extLst>
          </c:dPt>
          <c:dPt>
            <c:idx val="1"/>
            <c:bubble3D val="0"/>
            <c:spPr>
              <a:solidFill>
                <a:srgbClr val="FFC000"/>
              </a:solidFill>
            </c:spPr>
            <c:extLst>
              <c:ext xmlns:c16="http://schemas.microsoft.com/office/drawing/2014/chart" uri="{C3380CC4-5D6E-409C-BE32-E72D297353CC}">
                <c16:uniqueId val="{00000003-8472-1E4E-B339-D48FFCA69402}"/>
              </c:ext>
            </c:extLst>
          </c:dPt>
          <c:dPt>
            <c:idx val="2"/>
            <c:bubble3D val="0"/>
            <c:spPr>
              <a:solidFill>
                <a:srgbClr val="FF0000"/>
              </a:solidFill>
            </c:spPr>
            <c:extLst>
              <c:ext xmlns:c16="http://schemas.microsoft.com/office/drawing/2014/chart" uri="{C3380CC4-5D6E-409C-BE32-E72D297353CC}">
                <c16:uniqueId val="{00000005-8472-1E4E-B339-D48FFCA69402}"/>
              </c:ext>
            </c:extLst>
          </c:dPt>
          <c:dPt>
            <c:idx val="3"/>
            <c:bubble3D val="0"/>
            <c:spPr>
              <a:solidFill>
                <a:srgbClr val="C00000"/>
              </a:solidFill>
            </c:spPr>
            <c:extLst>
              <c:ext xmlns:c16="http://schemas.microsoft.com/office/drawing/2014/chart" uri="{C3380CC4-5D6E-409C-BE32-E72D297353CC}">
                <c16:uniqueId val="{00000007-8472-1E4E-B339-D48FFCA69402}"/>
              </c:ext>
            </c:extLst>
          </c:dPt>
          <c:dPt>
            <c:idx val="4"/>
            <c:bubble3D val="0"/>
            <c:spPr>
              <a:solidFill>
                <a:schemeClr val="bg1">
                  <a:lumMod val="75000"/>
                </a:schemeClr>
              </a:solidFill>
            </c:spPr>
            <c:extLst>
              <c:ext xmlns:c16="http://schemas.microsoft.com/office/drawing/2014/chart" uri="{C3380CC4-5D6E-409C-BE32-E72D297353CC}">
                <c16:uniqueId val="{00000009-8472-1E4E-B339-D48FFCA6940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'Taux de couverture guide ANSSI'!$B$26:$B$30</c:f>
              <c:strCache>
                <c:ptCount val="5"/>
                <c:pt idx="0">
                  <c:v>Totalement mis en œuvre</c:v>
                </c:pt>
                <c:pt idx="1">
                  <c:v>Partiellement mis en œuvre</c:v>
                </c:pt>
                <c:pt idx="2">
                  <c:v>Pas commencé</c:v>
                </c:pt>
                <c:pt idx="3">
                  <c:v>Problème !</c:v>
                </c:pt>
                <c:pt idx="4">
                  <c:v>n.a.</c:v>
                </c:pt>
              </c:strCache>
            </c:strRef>
          </c:cat>
          <c:val>
            <c:numRef>
              <c:f>'Taux de couverture guide ANSSI'!$C$26:$C$30</c:f>
              <c:numCache>
                <c:formatCode>General</c:formatCode>
                <c:ptCount val="5"/>
                <c:pt idx="0">
                  <c:v>12</c:v>
                </c:pt>
                <c:pt idx="1">
                  <c:v>0</c:v>
                </c:pt>
                <c:pt idx="2">
                  <c:v>0</c:v>
                </c:pt>
                <c:pt idx="3">
                  <c:v>18</c:v>
                </c:pt>
                <c:pt idx="4">
                  <c:v>49</c:v>
                </c:pt>
              </c:numCache>
            </c:numRef>
          </c:val>
          <c:extLst>
            <c:ext xmlns:c16="http://schemas.microsoft.com/office/drawing/2014/chart" uri="{C3380CC4-5D6E-409C-BE32-E72D297353CC}">
              <c16:uniqueId val="{0000000A-8472-1E4E-B339-D48FFCA69402}"/>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33616</xdr:colOff>
      <xdr:row>10</xdr:row>
      <xdr:rowOff>201707</xdr:rowOff>
    </xdr:from>
    <xdr:to>
      <xdr:col>7</xdr:col>
      <xdr:colOff>67234</xdr:colOff>
      <xdr:row>11</xdr:row>
      <xdr:rowOff>145677</xdr:rowOff>
    </xdr:to>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1243851" y="414619"/>
          <a:ext cx="5815854" cy="3272117"/>
        </a:xfrm>
        <a:prstGeom prst="rect">
          <a:avLst/>
        </a:prstGeom>
        <a:solidFill>
          <a:schemeClr val="lt1"/>
        </a:solidFill>
        <a:ln w="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latin typeface="Arial Narrow" panose="020B0606020202030204" pitchFamily="34" charset="0"/>
            </a:rPr>
            <a:t>Ce document rédigé par l’ANSSI présente les « Recommandations pour les architectures des systèmes d’information sensibles ou Diffusion Restreinte - Liste de vérifications ». Il est téléchargeable sur le site www.ssi.gouv.fr.</a:t>
          </a:r>
        </a:p>
        <a:p>
          <a:r>
            <a:rPr lang="fr-FR" sz="1200">
              <a:latin typeface="Arial Narrow" panose="020B0606020202030204" pitchFamily="34" charset="0"/>
            </a:rPr>
            <a:t>Il constitue une production originale de l’ANSSI placée sous le régime de la « Licence ouverte v2.0 » publiée par la mission Etalab*.</a:t>
          </a:r>
        </a:p>
        <a:p>
          <a:r>
            <a:rPr lang="fr-FR" sz="1200">
              <a:latin typeface="Arial Narrow" panose="020B0606020202030204" pitchFamily="34" charset="0"/>
            </a:rPr>
            <a:t>Conformément à la Licence Ouverte v2.0, le guide peut être réutilisé librement, sous réserve de mentionner sa paternité (source et date de la dernière mise à jour). La réutilisation s’entend du droit de communiquer, diffuser, redistribuer, publier, transmettre, reproduire, copier, adapter, modifier, extraire, transformer et exploiter, y compris à des fins commerciales.</a:t>
          </a:r>
        </a:p>
        <a:p>
          <a:r>
            <a:rPr lang="fr-FR" sz="1200">
              <a:latin typeface="Arial Narrow" panose="020B0606020202030204" pitchFamily="34" charset="0"/>
            </a:rPr>
            <a:t>Sauf disposition réglementaire contraire, ces recommandations n’ont pas de caractère normatif ; elles sont livrées en l’état et adaptées aux menaces au jour de leur publication. Au regard de la diversité des systèmes d’information, l’ANSSI ne peut garantir que ces informations puissent être reprises sans adaptation sur les systèmes d’information cibles. Dans tous les cas, la pertinence de l’implémentation des éléments proposés par l’ANSSI doit être soumise, au préalable, à la validation de l’administrateur du système et/ou des personnes en charge de la sécurité des systèmes d’information.</a:t>
          </a:r>
        </a:p>
      </xdr:txBody>
    </xdr:sp>
    <xdr:clientData/>
  </xdr:twoCellAnchor>
  <xdr:twoCellAnchor editAs="oneCell">
    <xdr:from>
      <xdr:col>1</xdr:col>
      <xdr:colOff>0</xdr:colOff>
      <xdr:row>9</xdr:row>
      <xdr:rowOff>78441</xdr:rowOff>
    </xdr:from>
    <xdr:to>
      <xdr:col>1</xdr:col>
      <xdr:colOff>580952</xdr:colOff>
      <xdr:row>10</xdr:row>
      <xdr:rowOff>189339</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210235" y="78441"/>
          <a:ext cx="580952" cy="323810"/>
        </a:xfrm>
        <a:prstGeom prst="rect">
          <a:avLst/>
        </a:prstGeom>
      </xdr:spPr>
    </xdr:pic>
    <xdr:clientData/>
  </xdr:twoCellAnchor>
  <xdr:twoCellAnchor editAs="oneCell">
    <xdr:from>
      <xdr:col>0</xdr:col>
      <xdr:colOff>515470</xdr:colOff>
      <xdr:row>9</xdr:row>
      <xdr:rowOff>22412</xdr:rowOff>
    </xdr:from>
    <xdr:to>
      <xdr:col>1</xdr:col>
      <xdr:colOff>9997</xdr:colOff>
      <xdr:row>10</xdr:row>
      <xdr:rowOff>2209500</xdr:rowOff>
    </xdr:to>
    <xdr:pic>
      <xdr:nvPicPr>
        <xdr:cNvPr id="5" name="Imag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515470" y="22412"/>
          <a:ext cx="704762" cy="2400000"/>
        </a:xfrm>
        <a:prstGeom prst="rect">
          <a:avLst/>
        </a:prstGeom>
      </xdr:spPr>
    </xdr:pic>
    <xdr:clientData/>
  </xdr:twoCellAnchor>
  <xdr:twoCellAnchor editAs="oneCell">
    <xdr:from>
      <xdr:col>0</xdr:col>
      <xdr:colOff>351526</xdr:colOff>
      <xdr:row>1</xdr:row>
      <xdr:rowOff>28352</xdr:rowOff>
    </xdr:from>
    <xdr:to>
      <xdr:col>1</xdr:col>
      <xdr:colOff>161584</xdr:colOff>
      <xdr:row>6</xdr:row>
      <xdr:rowOff>12909</xdr:rowOff>
    </xdr:to>
    <xdr:pic>
      <xdr:nvPicPr>
        <xdr:cNvPr id="6" name="Image 5" descr="Agence nationale de la sécurité des systèmes d'information — Wikipédia">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1526" y="237902"/>
          <a:ext cx="1019733" cy="1032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xdr:row>
      <xdr:rowOff>47625</xdr:rowOff>
    </xdr:from>
    <xdr:to>
      <xdr:col>7</xdr:col>
      <xdr:colOff>0</xdr:colOff>
      <xdr:row>9</xdr:row>
      <xdr:rowOff>28575</xdr:rowOff>
    </xdr:to>
    <xdr:sp macro="" textlink="">
      <xdr:nvSpPr>
        <xdr:cNvPr id="8" name="ZoneTexte 7">
          <a:extLst>
            <a:ext uri="{FF2B5EF4-FFF2-40B4-BE49-F238E27FC236}">
              <a16:creationId xmlns:a16="http://schemas.microsoft.com/office/drawing/2014/main" id="{00000000-0008-0000-0000-000008000000}"/>
            </a:ext>
          </a:extLst>
        </xdr:cNvPr>
        <xdr:cNvSpPr txBox="1"/>
      </xdr:nvSpPr>
      <xdr:spPr>
        <a:xfrm>
          <a:off x="1638300" y="257175"/>
          <a:ext cx="5400675" cy="16573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solidFill>
              <a:schemeClr val="dk1"/>
            </a:solidFill>
            <a:effectLst/>
            <a:latin typeface="Arial Narrow" panose="020B0606020202030204" pitchFamily="34" charset="0"/>
            <a:ea typeface="+mn-ea"/>
            <a:cs typeface="+mn-cs"/>
          </a:endParaRPr>
        </a:p>
        <a:p>
          <a:pPr algn="ctr"/>
          <a:r>
            <a:rPr lang="fr-FR" sz="1600" b="1">
              <a:solidFill>
                <a:schemeClr val="dk1"/>
              </a:solidFill>
              <a:effectLst/>
              <a:latin typeface="Arial Narrow" panose="020B0606020202030204" pitchFamily="34" charset="0"/>
              <a:ea typeface="+mn-ea"/>
              <a:cs typeface="+mn-cs"/>
            </a:rPr>
            <a:t>Mise en oeuvre des règles NIS 6</a:t>
          </a:r>
          <a:r>
            <a:rPr lang="fr-FR" sz="1600" b="1" baseline="0">
              <a:solidFill>
                <a:schemeClr val="dk1"/>
              </a:solidFill>
              <a:effectLst/>
              <a:latin typeface="Arial Narrow" panose="020B0606020202030204" pitchFamily="34" charset="0"/>
              <a:ea typeface="+mn-ea"/>
              <a:cs typeface="+mn-cs"/>
            </a:rPr>
            <a:t> à 16</a:t>
          </a:r>
          <a:r>
            <a:rPr lang="fr-FR" sz="1600" b="1">
              <a:solidFill>
                <a:schemeClr val="dk1"/>
              </a:solidFill>
              <a:effectLst/>
              <a:latin typeface="Arial Narrow" panose="020B0606020202030204" pitchFamily="34" charset="0"/>
              <a:ea typeface="+mn-ea"/>
              <a:cs typeface="+mn-cs"/>
            </a:rPr>
            <a:t> - Liste de vérifications</a:t>
          </a: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fr-FR" sz="1200" b="1" i="0" u="sng">
              <a:solidFill>
                <a:schemeClr val="dk1"/>
              </a:solidFill>
              <a:effectLst/>
              <a:latin typeface="Arial Narrow" panose="020B0606020202030204" pitchFamily="34" charset="0"/>
              <a:ea typeface="+mn-ea"/>
              <a:cs typeface="+mn-cs"/>
            </a:rPr>
            <a:t>Objectif de ce document</a:t>
          </a:r>
          <a:r>
            <a:rPr lang="fr-FR" sz="1200" b="1" i="0" u="none">
              <a:solidFill>
                <a:schemeClr val="dk1"/>
              </a:solidFill>
              <a:effectLst/>
              <a:latin typeface="Arial Narrow" panose="020B0606020202030204" pitchFamily="34" charset="0"/>
              <a:ea typeface="+mn-ea"/>
              <a:cs typeface="+mn-cs"/>
            </a:rPr>
            <a:t> : outiller la mise en oeuvre des recommandations</a:t>
          </a:r>
          <a:r>
            <a:rPr lang="fr-FR" sz="1200" b="1" i="0" u="none" baseline="0">
              <a:solidFill>
                <a:schemeClr val="dk1"/>
              </a:solidFill>
              <a:effectLst/>
              <a:latin typeface="Arial Narrow" panose="020B0606020202030204" pitchFamily="34" charset="0"/>
              <a:ea typeface="+mn-ea"/>
              <a:cs typeface="+mn-cs"/>
            </a:rPr>
            <a:t> du guide ANSSI</a:t>
          </a:r>
          <a:endParaRPr lang="fr-FR" sz="1100" b="1" i="0">
            <a:solidFill>
              <a:schemeClr val="dk1"/>
            </a:solidFill>
            <a:effectLst/>
            <a:latin typeface="Arial Narrow" panose="020B0606020202030204" pitchFamily="34" charset="0"/>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fr-FR" sz="1100" b="1" i="0">
            <a:solidFill>
              <a:schemeClr val="dk1"/>
            </a:solidFill>
            <a:effectLst/>
            <a:latin typeface="Arial Narrow" panose="020B0606020202030204" pitchFamily="34" charset="0"/>
            <a:ea typeface="+mn-ea"/>
            <a:cs typeface="+mn-cs"/>
          </a:endParaRPr>
        </a:p>
        <a:p>
          <a:pPr algn="ctr" eaLnBrk="1" fontAlgn="auto" latinLnBrk="0" hangingPunct="1"/>
          <a:r>
            <a:rPr lang="fr-FR" sz="1000" b="1">
              <a:solidFill>
                <a:schemeClr val="dk1"/>
              </a:solidFill>
              <a:effectLst/>
              <a:latin typeface="Arial Narrow" panose="020B0606020202030204" pitchFamily="34" charset="0"/>
              <a:ea typeface="+mn-ea"/>
              <a:cs typeface="+mn-cs"/>
            </a:rPr>
            <a:t>Ce</a:t>
          </a:r>
          <a:r>
            <a:rPr lang="fr-FR" sz="1000" b="1" baseline="0">
              <a:solidFill>
                <a:schemeClr val="dk1"/>
              </a:solidFill>
              <a:effectLst/>
              <a:latin typeface="Arial Narrow" panose="020B0606020202030204" pitchFamily="34" charset="0"/>
              <a:ea typeface="+mn-ea"/>
              <a:cs typeface="+mn-cs"/>
            </a:rPr>
            <a:t> document constitue un c</a:t>
          </a:r>
          <a:r>
            <a:rPr lang="fr-FR" sz="1000" b="1">
              <a:solidFill>
                <a:schemeClr val="dk1"/>
              </a:solidFill>
              <a:effectLst/>
              <a:latin typeface="Arial Narrow" panose="020B0606020202030204" pitchFamily="34" charset="0"/>
              <a:ea typeface="+mn-ea"/>
              <a:cs typeface="+mn-cs"/>
            </a:rPr>
            <a:t>omplément</a:t>
          </a:r>
          <a:r>
            <a:rPr lang="fr-FR" sz="1000" b="1" baseline="0">
              <a:solidFill>
                <a:schemeClr val="dk1"/>
              </a:solidFill>
              <a:effectLst/>
              <a:latin typeface="Arial Narrow" panose="020B0606020202030204" pitchFamily="34" charset="0"/>
              <a:ea typeface="+mn-ea"/>
              <a:cs typeface="+mn-cs"/>
            </a:rPr>
            <a:t> au guide ANSSI  </a:t>
          </a:r>
          <a:endParaRPr lang="fr-FR" sz="1000">
            <a:effectLst/>
            <a:latin typeface="Arial Narrow" panose="020B0606020202030204" pitchFamily="34" charset="0"/>
          </a:endParaRPr>
        </a:p>
        <a:p>
          <a:pPr algn="ctr" eaLnBrk="1" fontAlgn="auto" latinLnBrk="0" hangingPunct="1"/>
          <a:r>
            <a:rPr lang="fr-FR" sz="1000" b="1" i="1">
              <a:solidFill>
                <a:schemeClr val="dk1"/>
              </a:solidFill>
              <a:effectLst/>
              <a:latin typeface="Arial Narrow" panose="020B0606020202030204" pitchFamily="34" charset="0"/>
              <a:ea typeface="+mn-ea"/>
              <a:cs typeface="+mn-cs"/>
            </a:rPr>
            <a:t>Recommandations pour la protection des systèmes d'information essentiels</a:t>
          </a:r>
          <a:br>
            <a:rPr lang="fr-FR" sz="1000" b="0" i="0" u="none" strike="noStrike" baseline="0">
              <a:solidFill>
                <a:schemeClr val="dk1"/>
              </a:solidFill>
              <a:latin typeface="Arial Narrow" panose="020B0606020202030204" pitchFamily="34" charset="0"/>
              <a:ea typeface="+mn-ea"/>
              <a:cs typeface="+mn-cs"/>
            </a:rPr>
          </a:br>
          <a:r>
            <a:rPr lang="fr-FR" sz="1000" b="0" i="0" u="none" strike="noStrike" baseline="0">
              <a:solidFill>
                <a:schemeClr val="dk1"/>
              </a:solidFill>
              <a:latin typeface="Arial Narrow" panose="020B0606020202030204" pitchFamily="34" charset="0"/>
              <a:ea typeface="+mn-ea"/>
              <a:cs typeface="+mn-cs"/>
            </a:rPr>
            <a:t>(réf. ANSSI-PA-085 version 1.0 du 18/02/2020)</a:t>
          </a:r>
          <a:endParaRPr lang="fr-FR" sz="1000" b="0">
            <a:effectLst/>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0</xdr:row>
      <xdr:rowOff>114300</xdr:rowOff>
    </xdr:from>
    <xdr:to>
      <xdr:col>6</xdr:col>
      <xdr:colOff>447676</xdr:colOff>
      <xdr:row>20</xdr:row>
      <xdr:rowOff>76200</xdr:rowOff>
    </xdr:to>
    <xdr:graphicFrame macro="">
      <xdr:nvGraphicFramePr>
        <xdr:cNvPr id="4" name="Graphique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A1:G80" totalsRowShown="0" headerRowDxfId="12" dataDxfId="11">
  <autoFilter ref="A1:G80" xr:uid="{00000000-0009-0000-0100-000004000000}"/>
  <tableColumns count="7">
    <tableColumn id="1" xr3:uid="{00000000-0010-0000-0000-000001000000}" name="Identifiant" dataDxfId="10"/>
    <tableColumn id="2" xr3:uid="{00000000-0010-0000-0000-000002000000}" name="Intitulé de la recommandation" dataDxfId="9"/>
    <tableColumn id="4" xr3:uid="{00000000-0010-0000-0000-000004000000}" name="Associée à une exigence d'une règle" dataDxfId="8"/>
    <tableColumn id="6" xr3:uid="{00000000-0010-0000-0000-000006000000}" name="Mesure retenue, exclue ou non applicable ?" dataDxfId="7"/>
    <tableColumn id="8" xr3:uid="{00000000-0010-0000-0000-000008000000}" name="Niveau de mise en œuvre" dataDxfId="6"/>
    <tableColumn id="10" xr3:uid="{00000000-0010-0000-0000-00000A000000}" name="Plan d'action / Commentaires" dataDxfId="5"/>
    <tableColumn id="9" xr3:uid="{00000000-0010-0000-0000-000009000000}" name="Justification en cas d'exclusion ou de non applicabilité de la mesure" dataDxfId="4"/>
  </tableColumns>
  <tableStyleInfo name="Style de tableau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au22" displayName="Tableau22" ref="B25:C30" totalsRowShown="0" headerRowDxfId="3" dataDxfId="2">
  <autoFilter ref="B25:C30" xr:uid="{00000000-0009-0000-0100-000001000000}"/>
  <tableColumns count="2">
    <tableColumn id="1" xr3:uid="{00000000-0010-0000-0100-000001000000}" name="Statut" dataDxfId="1"/>
    <tableColumn id="2" xr3:uid="{00000000-0010-0000-0100-000002000000}" name="Recommandations ANSSI" dataDxfId="0">
      <calculatedColumnFormula>COUNTIF('Recommandations guide ANSSI'!E:E,B26)</calculatedColumnFormula>
    </tableColumn>
  </tableColumns>
  <tableStyleInfo name="Style de tableau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18"/>
  <sheetViews>
    <sheetView zoomScaleNormal="100" workbookViewId="0">
      <selection activeCell="I9" sqref="I9"/>
    </sheetView>
  </sheetViews>
  <sheetFormatPr defaultColWidth="11.42578125" defaultRowHeight="14.1"/>
  <cols>
    <col min="1" max="1" width="18.140625" style="1" customWidth="1"/>
    <col min="2" max="2" width="11.42578125" style="1"/>
    <col min="3" max="3" width="1.28515625" style="1" customWidth="1"/>
    <col min="4" max="4" width="11.42578125" style="1"/>
    <col min="5" max="5" width="0.42578125" style="1" customWidth="1"/>
    <col min="6" max="6" width="51.28515625" style="1" customWidth="1"/>
    <col min="7" max="16384" width="11.42578125" style="1"/>
  </cols>
  <sheetData>
    <row r="3" spans="2:6">
      <c r="D3" s="8">
        <v>5</v>
      </c>
    </row>
    <row r="11" spans="2:6" ht="261.75" customHeight="1"/>
    <row r="13" spans="2:6" ht="57.75" customHeight="1">
      <c r="B13" s="18" t="s">
        <v>0</v>
      </c>
      <c r="C13" s="18"/>
      <c r="D13" s="18"/>
      <c r="E13" s="18"/>
      <c r="F13" s="18"/>
    </row>
    <row r="16" spans="2:6">
      <c r="B16" s="2" t="s">
        <v>1</v>
      </c>
      <c r="C16" s="3"/>
      <c r="D16" s="2" t="s">
        <v>2</v>
      </c>
      <c r="E16" s="3"/>
      <c r="F16" s="5" t="s">
        <v>3</v>
      </c>
    </row>
    <row r="17" spans="2:6">
      <c r="B17" s="6" t="s">
        <v>4</v>
      </c>
      <c r="D17" s="7">
        <v>44183</v>
      </c>
      <c r="F17" s="4" t="s">
        <v>5</v>
      </c>
    </row>
    <row r="18" spans="2:6" ht="3.75" customHeight="1">
      <c r="B18" s="2"/>
      <c r="C18" s="2"/>
      <c r="D18" s="2"/>
      <c r="E18" s="2"/>
      <c r="F18" s="2"/>
    </row>
  </sheetData>
  <mergeCells count="1">
    <mergeCell ref="B13:F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H81"/>
  <sheetViews>
    <sheetView tabSelected="1" zoomScaleNormal="100" workbookViewId="0">
      <pane ySplit="1" topLeftCell="A2" activePane="bottomLeft" state="frozen"/>
      <selection pane="bottomLeft" activeCell="F14" sqref="F14"/>
    </sheetView>
  </sheetViews>
  <sheetFormatPr defaultColWidth="11.42578125" defaultRowHeight="14.1"/>
  <cols>
    <col min="1" max="1" width="11.7109375" style="16" customWidth="1"/>
    <col min="2" max="2" width="74.42578125" style="16" customWidth="1"/>
    <col min="3" max="3" width="20.85546875" style="16" customWidth="1"/>
    <col min="4" max="4" width="19.42578125" style="16" customWidth="1"/>
    <col min="5" max="5" width="26.7109375" style="16" customWidth="1"/>
    <col min="6" max="6" width="55.42578125" style="16" customWidth="1"/>
    <col min="7" max="7" width="107.7109375" style="16" bestFit="1" customWidth="1"/>
    <col min="8" max="8" width="32" style="16" customWidth="1"/>
    <col min="9" max="16384" width="11.42578125" style="16"/>
  </cols>
  <sheetData>
    <row r="1" spans="1:8" s="13" customFormat="1" ht="33.950000000000003">
      <c r="A1" s="13" t="s">
        <v>6</v>
      </c>
      <c r="B1" s="13" t="s">
        <v>7</v>
      </c>
      <c r="C1" s="14" t="s">
        <v>8</v>
      </c>
      <c r="D1" s="14" t="s">
        <v>9</v>
      </c>
      <c r="E1" s="14" t="s">
        <v>10</v>
      </c>
      <c r="F1" s="14" t="s">
        <v>11</v>
      </c>
      <c r="G1" s="14" t="s">
        <v>12</v>
      </c>
      <c r="H1" s="14"/>
    </row>
    <row r="2" spans="1:8" ht="50.25">
      <c r="A2" s="15" t="s">
        <v>13</v>
      </c>
      <c r="B2" s="15" t="s">
        <v>14</v>
      </c>
      <c r="C2" s="15" t="s">
        <v>15</v>
      </c>
      <c r="D2" s="15" t="s">
        <v>16</v>
      </c>
      <c r="E2" s="15" t="s">
        <v>17</v>
      </c>
      <c r="F2" s="17" t="s">
        <v>18</v>
      </c>
      <c r="G2" s="15"/>
    </row>
    <row r="3" spans="1:8" ht="16.5">
      <c r="A3" s="15" t="s">
        <v>19</v>
      </c>
      <c r="B3" s="15" t="s">
        <v>20</v>
      </c>
      <c r="C3" s="15" t="s">
        <v>21</v>
      </c>
      <c r="D3" s="15" t="s">
        <v>22</v>
      </c>
      <c r="E3" s="15" t="s">
        <v>23</v>
      </c>
      <c r="F3" s="17"/>
      <c r="G3" s="15" t="s">
        <v>24</v>
      </c>
    </row>
    <row r="4" spans="1:8" ht="15.95">
      <c r="A4" s="15" t="s">
        <v>25</v>
      </c>
      <c r="B4" s="15" t="s">
        <v>26</v>
      </c>
      <c r="C4" s="15" t="s">
        <v>15</v>
      </c>
      <c r="D4" s="15" t="s">
        <v>16</v>
      </c>
      <c r="E4" s="15" t="s">
        <v>17</v>
      </c>
      <c r="F4" s="15" t="s">
        <v>27</v>
      </c>
      <c r="G4" s="15"/>
    </row>
    <row r="5" spans="1:8" ht="15.95">
      <c r="A5" s="15" t="s">
        <v>28</v>
      </c>
      <c r="B5" s="15" t="s">
        <v>29</v>
      </c>
      <c r="C5" s="15" t="s">
        <v>15</v>
      </c>
      <c r="D5" s="15" t="s">
        <v>30</v>
      </c>
      <c r="E5" s="15" t="s">
        <v>30</v>
      </c>
      <c r="F5" s="15"/>
      <c r="G5" s="15"/>
    </row>
    <row r="6" spans="1:8" ht="15.95">
      <c r="A6" s="15" t="s">
        <v>31</v>
      </c>
      <c r="B6" s="15" t="s">
        <v>32</v>
      </c>
      <c r="C6" s="15" t="s">
        <v>21</v>
      </c>
      <c r="D6" s="15" t="s">
        <v>22</v>
      </c>
      <c r="E6" s="15" t="s">
        <v>23</v>
      </c>
      <c r="F6" s="15"/>
      <c r="G6" s="15" t="s">
        <v>33</v>
      </c>
    </row>
    <row r="7" spans="1:8" ht="15.95">
      <c r="A7" s="15" t="s">
        <v>34</v>
      </c>
      <c r="B7" s="15" t="s">
        <v>35</v>
      </c>
      <c r="C7" s="15" t="s">
        <v>21</v>
      </c>
      <c r="D7" s="15" t="s">
        <v>22</v>
      </c>
      <c r="E7" s="15" t="s">
        <v>23</v>
      </c>
      <c r="F7" s="15"/>
      <c r="G7" s="15" t="s">
        <v>36</v>
      </c>
    </row>
    <row r="8" spans="1:8" ht="15.95">
      <c r="A8" s="15" t="s">
        <v>37</v>
      </c>
      <c r="B8" s="15" t="s">
        <v>38</v>
      </c>
      <c r="C8" s="15" t="s">
        <v>15</v>
      </c>
      <c r="D8" s="15" t="s">
        <v>22</v>
      </c>
      <c r="E8" s="15" t="s">
        <v>23</v>
      </c>
      <c r="F8" s="15"/>
      <c r="G8" s="15" t="s">
        <v>39</v>
      </c>
    </row>
    <row r="9" spans="1:8" ht="15.95">
      <c r="A9" s="15" t="s">
        <v>40</v>
      </c>
      <c r="B9" s="15" t="s">
        <v>41</v>
      </c>
      <c r="C9" s="15" t="s">
        <v>15</v>
      </c>
      <c r="D9" s="15" t="s">
        <v>30</v>
      </c>
      <c r="E9" s="15" t="s">
        <v>30</v>
      </c>
      <c r="F9" s="15"/>
      <c r="G9" s="15"/>
    </row>
    <row r="10" spans="1:8" ht="15.95">
      <c r="A10" s="15" t="s">
        <v>42</v>
      </c>
      <c r="B10" s="15" t="s">
        <v>43</v>
      </c>
      <c r="C10" s="15" t="s">
        <v>15</v>
      </c>
      <c r="D10" s="15" t="s">
        <v>30</v>
      </c>
      <c r="E10" s="15" t="s">
        <v>30</v>
      </c>
      <c r="F10" s="15"/>
      <c r="G10" s="15"/>
    </row>
    <row r="11" spans="1:8" ht="17.100000000000001">
      <c r="A11" s="15" t="s">
        <v>44</v>
      </c>
      <c r="B11" s="17" t="s">
        <v>45</v>
      </c>
      <c r="C11" s="15" t="s">
        <v>21</v>
      </c>
      <c r="D11" s="15" t="s">
        <v>30</v>
      </c>
      <c r="E11" s="15" t="s">
        <v>30</v>
      </c>
      <c r="F11" s="15"/>
      <c r="G11" s="15"/>
    </row>
    <row r="12" spans="1:8" ht="15.95">
      <c r="A12" s="15" t="s">
        <v>46</v>
      </c>
      <c r="B12" s="15" t="s">
        <v>47</v>
      </c>
      <c r="C12" s="15" t="s">
        <v>21</v>
      </c>
      <c r="D12" s="15" t="s">
        <v>30</v>
      </c>
      <c r="E12" s="15" t="s">
        <v>30</v>
      </c>
      <c r="F12" s="15"/>
      <c r="G12" s="15"/>
    </row>
    <row r="13" spans="1:8" ht="15.95">
      <c r="A13" s="15" t="s">
        <v>48</v>
      </c>
      <c r="B13" s="15" t="s">
        <v>49</v>
      </c>
      <c r="C13" s="15" t="s">
        <v>21</v>
      </c>
      <c r="D13" s="15" t="s">
        <v>30</v>
      </c>
      <c r="E13" s="15" t="s">
        <v>30</v>
      </c>
      <c r="F13" s="15"/>
      <c r="G13" s="15"/>
    </row>
    <row r="14" spans="1:8" ht="33.75">
      <c r="A14" s="15" t="s">
        <v>50</v>
      </c>
      <c r="B14" s="15" t="s">
        <v>51</v>
      </c>
      <c r="C14" s="15" t="s">
        <v>15</v>
      </c>
      <c r="D14" s="15" t="s">
        <v>16</v>
      </c>
      <c r="E14" s="15" t="s">
        <v>17</v>
      </c>
      <c r="F14" s="17" t="s">
        <v>52</v>
      </c>
      <c r="G14" s="15"/>
    </row>
    <row r="15" spans="1:8" ht="33.75">
      <c r="A15" s="15" t="s">
        <v>53</v>
      </c>
      <c r="B15" s="15" t="s">
        <v>54</v>
      </c>
      <c r="C15" s="15" t="s">
        <v>15</v>
      </c>
      <c r="D15" s="15" t="s">
        <v>16</v>
      </c>
      <c r="E15" s="15" t="s">
        <v>17</v>
      </c>
      <c r="F15" s="17" t="s">
        <v>55</v>
      </c>
      <c r="G15" s="15"/>
    </row>
    <row r="16" spans="1:8" ht="33.75">
      <c r="A16" s="15" t="s">
        <v>56</v>
      </c>
      <c r="B16" s="15" t="s">
        <v>57</v>
      </c>
      <c r="C16" s="15" t="s">
        <v>15</v>
      </c>
      <c r="D16" s="15" t="s">
        <v>16</v>
      </c>
      <c r="E16" s="15" t="s">
        <v>17</v>
      </c>
      <c r="F16" s="17" t="s">
        <v>58</v>
      </c>
      <c r="G16" s="15"/>
    </row>
    <row r="17" spans="1:7" ht="15.95">
      <c r="A17" s="15" t="s">
        <v>59</v>
      </c>
      <c r="B17" s="15" t="s">
        <v>60</v>
      </c>
      <c r="C17" s="15" t="s">
        <v>15</v>
      </c>
      <c r="D17" s="15" t="s">
        <v>30</v>
      </c>
      <c r="E17" s="15" t="s">
        <v>30</v>
      </c>
      <c r="F17" s="15"/>
      <c r="G17" s="15"/>
    </row>
    <row r="18" spans="1:7" ht="15.95">
      <c r="A18" s="15" t="s">
        <v>61</v>
      </c>
      <c r="B18" s="15" t="s">
        <v>62</v>
      </c>
      <c r="C18" s="15" t="s">
        <v>15</v>
      </c>
      <c r="D18" s="15" t="s">
        <v>30</v>
      </c>
      <c r="E18" s="15" t="s">
        <v>30</v>
      </c>
      <c r="F18" s="15"/>
      <c r="G18" s="15"/>
    </row>
    <row r="19" spans="1:7" ht="15.95">
      <c r="A19" s="15" t="s">
        <v>63</v>
      </c>
      <c r="B19" s="15" t="s">
        <v>64</v>
      </c>
      <c r="C19" s="15" t="s">
        <v>21</v>
      </c>
      <c r="D19" s="15" t="s">
        <v>30</v>
      </c>
      <c r="E19" s="15" t="s">
        <v>30</v>
      </c>
      <c r="F19" s="15"/>
      <c r="G19" s="15"/>
    </row>
    <row r="20" spans="1:7" ht="15.95">
      <c r="A20" s="15" t="s">
        <v>65</v>
      </c>
      <c r="B20" s="15" t="s">
        <v>66</v>
      </c>
      <c r="C20" s="15" t="s">
        <v>15</v>
      </c>
      <c r="D20" s="15" t="s">
        <v>30</v>
      </c>
      <c r="E20" s="15" t="s">
        <v>30</v>
      </c>
      <c r="F20" s="15"/>
      <c r="G20" s="15"/>
    </row>
    <row r="21" spans="1:7" ht="33.75">
      <c r="A21" s="15" t="s">
        <v>67</v>
      </c>
      <c r="B21" s="15" t="s">
        <v>68</v>
      </c>
      <c r="C21" s="15" t="s">
        <v>15</v>
      </c>
      <c r="D21" s="15" t="s">
        <v>16</v>
      </c>
      <c r="E21" s="15" t="s">
        <v>17</v>
      </c>
      <c r="F21" s="17" t="s">
        <v>69</v>
      </c>
      <c r="G21" s="15"/>
    </row>
    <row r="22" spans="1:7" ht="15.95">
      <c r="A22" s="15" t="s">
        <v>70</v>
      </c>
      <c r="B22" s="15" t="s">
        <v>71</v>
      </c>
      <c r="C22" s="15" t="s">
        <v>15</v>
      </c>
      <c r="D22" s="15" t="s">
        <v>30</v>
      </c>
      <c r="E22" s="15" t="s">
        <v>30</v>
      </c>
      <c r="F22" s="15"/>
      <c r="G22" s="15"/>
    </row>
    <row r="23" spans="1:7" ht="50.25">
      <c r="A23" s="15" t="s">
        <v>72</v>
      </c>
      <c r="B23" s="15" t="s">
        <v>73</v>
      </c>
      <c r="C23" s="15" t="s">
        <v>15</v>
      </c>
      <c r="D23" s="15" t="s">
        <v>16</v>
      </c>
      <c r="E23" s="15" t="s">
        <v>17</v>
      </c>
      <c r="F23" s="17" t="s">
        <v>74</v>
      </c>
      <c r="G23" s="15"/>
    </row>
    <row r="24" spans="1:7" ht="15.95">
      <c r="A24" s="15" t="s">
        <v>75</v>
      </c>
      <c r="B24" s="15" t="s">
        <v>76</v>
      </c>
      <c r="C24" s="15" t="s">
        <v>21</v>
      </c>
      <c r="D24" s="15" t="s">
        <v>22</v>
      </c>
      <c r="E24" s="15" t="s">
        <v>23</v>
      </c>
      <c r="F24" s="15"/>
      <c r="G24" s="15" t="s">
        <v>77</v>
      </c>
    </row>
    <row r="25" spans="1:7" ht="15.95">
      <c r="A25" s="15" t="s">
        <v>78</v>
      </c>
      <c r="B25" s="15" t="s">
        <v>79</v>
      </c>
      <c r="C25" s="15" t="s">
        <v>21</v>
      </c>
      <c r="D25" s="15" t="s">
        <v>30</v>
      </c>
      <c r="E25" s="15" t="s">
        <v>30</v>
      </c>
      <c r="F25" s="15"/>
      <c r="G25" s="15"/>
    </row>
    <row r="26" spans="1:7" ht="15.95">
      <c r="A26" s="15" t="s">
        <v>80</v>
      </c>
      <c r="B26" s="15" t="s">
        <v>81</v>
      </c>
      <c r="C26" s="15" t="s">
        <v>15</v>
      </c>
      <c r="D26" s="15" t="s">
        <v>30</v>
      </c>
      <c r="E26" s="15" t="s">
        <v>30</v>
      </c>
      <c r="F26" s="15"/>
      <c r="G26" s="15"/>
    </row>
    <row r="27" spans="1:7" ht="15.95">
      <c r="A27" s="15" t="s">
        <v>82</v>
      </c>
      <c r="B27" s="15" t="s">
        <v>83</v>
      </c>
      <c r="C27" s="15" t="s">
        <v>15</v>
      </c>
      <c r="D27" s="15" t="s">
        <v>30</v>
      </c>
      <c r="E27" s="15" t="s">
        <v>30</v>
      </c>
      <c r="F27" s="15"/>
      <c r="G27" s="15"/>
    </row>
    <row r="28" spans="1:7" ht="50.25">
      <c r="A28" s="15" t="s">
        <v>84</v>
      </c>
      <c r="B28" s="15" t="s">
        <v>85</v>
      </c>
      <c r="C28" s="15" t="s">
        <v>15</v>
      </c>
      <c r="D28" s="15" t="s">
        <v>22</v>
      </c>
      <c r="E28" s="15" t="s">
        <v>23</v>
      </c>
      <c r="F28" s="17" t="s">
        <v>86</v>
      </c>
      <c r="G28" s="15"/>
    </row>
    <row r="29" spans="1:7" ht="15.95">
      <c r="A29" s="15" t="s">
        <v>87</v>
      </c>
      <c r="B29" s="15" t="s">
        <v>88</v>
      </c>
      <c r="C29" s="15" t="s">
        <v>21</v>
      </c>
      <c r="D29" s="15" t="s">
        <v>30</v>
      </c>
      <c r="E29" s="15" t="s">
        <v>30</v>
      </c>
      <c r="F29" s="15"/>
      <c r="G29" s="15"/>
    </row>
    <row r="30" spans="1:7" ht="33.75">
      <c r="A30" s="15" t="s">
        <v>89</v>
      </c>
      <c r="B30" s="15" t="s">
        <v>90</v>
      </c>
      <c r="C30" s="15" t="s">
        <v>15</v>
      </c>
      <c r="D30" s="15" t="s">
        <v>16</v>
      </c>
      <c r="E30" s="15" t="s">
        <v>17</v>
      </c>
      <c r="F30" s="17" t="s">
        <v>91</v>
      </c>
      <c r="G30" s="15"/>
    </row>
    <row r="31" spans="1:7" ht="15.95">
      <c r="A31" s="15" t="s">
        <v>92</v>
      </c>
      <c r="B31" s="15" t="s">
        <v>93</v>
      </c>
      <c r="C31" s="15" t="s">
        <v>15</v>
      </c>
      <c r="D31" s="15" t="s">
        <v>30</v>
      </c>
      <c r="E31" s="15" t="s">
        <v>30</v>
      </c>
      <c r="F31" s="15"/>
      <c r="G31" s="15"/>
    </row>
    <row r="32" spans="1:7" ht="15.95">
      <c r="A32" s="15" t="s">
        <v>94</v>
      </c>
      <c r="B32" s="15" t="s">
        <v>95</v>
      </c>
      <c r="C32" s="15" t="s">
        <v>21</v>
      </c>
      <c r="D32" s="15" t="s">
        <v>30</v>
      </c>
      <c r="E32" s="15" t="s">
        <v>30</v>
      </c>
      <c r="F32" s="15"/>
      <c r="G32" s="15"/>
    </row>
    <row r="33" spans="1:7" ht="33.75">
      <c r="A33" s="15" t="s">
        <v>96</v>
      </c>
      <c r="B33" s="15" t="s">
        <v>97</v>
      </c>
      <c r="C33" s="15" t="s">
        <v>15</v>
      </c>
      <c r="D33" s="15" t="s">
        <v>16</v>
      </c>
      <c r="E33" s="15" t="s">
        <v>17</v>
      </c>
      <c r="F33" s="17" t="s">
        <v>98</v>
      </c>
      <c r="G33" s="15"/>
    </row>
    <row r="34" spans="1:7" ht="15.95">
      <c r="A34" s="15" t="s">
        <v>99</v>
      </c>
      <c r="B34" s="15" t="s">
        <v>100</v>
      </c>
      <c r="C34" s="15" t="s">
        <v>15</v>
      </c>
      <c r="D34" s="15" t="s">
        <v>30</v>
      </c>
      <c r="E34" s="15" t="s">
        <v>30</v>
      </c>
      <c r="F34" s="15"/>
      <c r="G34" s="15"/>
    </row>
    <row r="35" spans="1:7" ht="15.95">
      <c r="A35" s="15" t="s">
        <v>101</v>
      </c>
      <c r="B35" s="15" t="s">
        <v>102</v>
      </c>
      <c r="C35" s="15" t="s">
        <v>21</v>
      </c>
      <c r="D35" s="15" t="s">
        <v>30</v>
      </c>
      <c r="E35" s="15" t="s">
        <v>30</v>
      </c>
      <c r="F35" s="15"/>
      <c r="G35" s="15"/>
    </row>
    <row r="36" spans="1:7" ht="15.95">
      <c r="A36" s="15" t="s">
        <v>103</v>
      </c>
      <c r="B36" s="15" t="s">
        <v>104</v>
      </c>
      <c r="C36" s="15" t="s">
        <v>21</v>
      </c>
      <c r="D36" s="15" t="s">
        <v>30</v>
      </c>
      <c r="E36" s="15" t="s">
        <v>30</v>
      </c>
      <c r="F36" s="15"/>
      <c r="G36" s="15"/>
    </row>
    <row r="37" spans="1:7" ht="33.75">
      <c r="A37" s="15" t="s">
        <v>105</v>
      </c>
      <c r="B37" s="15" t="s">
        <v>106</v>
      </c>
      <c r="C37" s="15" t="s">
        <v>15</v>
      </c>
      <c r="D37" s="15" t="s">
        <v>16</v>
      </c>
      <c r="E37" s="15" t="s">
        <v>17</v>
      </c>
      <c r="F37" s="17" t="s">
        <v>107</v>
      </c>
      <c r="G37" s="15"/>
    </row>
    <row r="38" spans="1:7" ht="16.5">
      <c r="A38" s="15" t="s">
        <v>108</v>
      </c>
      <c r="B38" s="15" t="s">
        <v>109</v>
      </c>
      <c r="C38" s="15" t="s">
        <v>15</v>
      </c>
      <c r="D38" s="15" t="s">
        <v>22</v>
      </c>
      <c r="E38" s="15" t="s">
        <v>23</v>
      </c>
      <c r="F38" s="17"/>
      <c r="G38" s="15" t="s">
        <v>110</v>
      </c>
    </row>
    <row r="39" spans="1:7" ht="15.95">
      <c r="A39" s="15" t="s">
        <v>111</v>
      </c>
      <c r="B39" s="15" t="s">
        <v>112</v>
      </c>
      <c r="C39" s="15" t="s">
        <v>15</v>
      </c>
      <c r="D39" s="15" t="s">
        <v>30</v>
      </c>
      <c r="E39" s="15" t="s">
        <v>30</v>
      </c>
      <c r="F39" s="15"/>
      <c r="G39" s="15"/>
    </row>
    <row r="40" spans="1:7" ht="15.95">
      <c r="A40" s="15" t="s">
        <v>113</v>
      </c>
      <c r="B40" s="15" t="s">
        <v>114</v>
      </c>
      <c r="C40" s="15" t="s">
        <v>15</v>
      </c>
      <c r="D40" s="15" t="s">
        <v>30</v>
      </c>
      <c r="E40" s="15" t="s">
        <v>30</v>
      </c>
      <c r="F40" s="15"/>
      <c r="G40" s="15"/>
    </row>
    <row r="41" spans="1:7" ht="15.95">
      <c r="A41" s="15" t="s">
        <v>115</v>
      </c>
      <c r="B41" s="15" t="s">
        <v>116</v>
      </c>
      <c r="C41" s="15" t="s">
        <v>21</v>
      </c>
      <c r="D41" s="15" t="s">
        <v>30</v>
      </c>
      <c r="E41" s="15" t="s">
        <v>30</v>
      </c>
      <c r="F41" s="15"/>
      <c r="G41" s="15"/>
    </row>
    <row r="42" spans="1:7" ht="16.5">
      <c r="A42" s="15" t="s">
        <v>117</v>
      </c>
      <c r="B42" s="15" t="s">
        <v>118</v>
      </c>
      <c r="C42" s="15" t="s">
        <v>21</v>
      </c>
      <c r="D42" s="15" t="s">
        <v>22</v>
      </c>
      <c r="E42" s="15" t="s">
        <v>23</v>
      </c>
      <c r="F42" s="17"/>
      <c r="G42" s="15" t="s">
        <v>119</v>
      </c>
    </row>
    <row r="43" spans="1:7" ht="15.95">
      <c r="A43" s="15" t="s">
        <v>120</v>
      </c>
      <c r="B43" s="15" t="s">
        <v>121</v>
      </c>
      <c r="C43" s="15" t="s">
        <v>21</v>
      </c>
      <c r="D43" s="15" t="s">
        <v>30</v>
      </c>
      <c r="E43" s="15" t="s">
        <v>30</v>
      </c>
      <c r="F43" s="15"/>
      <c r="G43" s="15"/>
    </row>
    <row r="44" spans="1:7" ht="15.95">
      <c r="A44" s="15" t="s">
        <v>122</v>
      </c>
      <c r="B44" s="15" t="s">
        <v>123</v>
      </c>
      <c r="C44" s="15" t="s">
        <v>15</v>
      </c>
      <c r="D44" s="15" t="s">
        <v>30</v>
      </c>
      <c r="E44" s="15" t="s">
        <v>30</v>
      </c>
      <c r="F44" s="15"/>
      <c r="G44" s="15"/>
    </row>
    <row r="45" spans="1:7" ht="33.75">
      <c r="A45" s="15" t="s">
        <v>124</v>
      </c>
      <c r="B45" s="15" t="s">
        <v>125</v>
      </c>
      <c r="C45" s="15" t="s">
        <v>15</v>
      </c>
      <c r="D45" s="15" t="s">
        <v>16</v>
      </c>
      <c r="E45" s="15" t="s">
        <v>17</v>
      </c>
      <c r="F45" s="17" t="s">
        <v>126</v>
      </c>
      <c r="G45" s="15"/>
    </row>
    <row r="46" spans="1:7" ht="15.95">
      <c r="A46" s="15" t="s">
        <v>127</v>
      </c>
      <c r="B46" s="15" t="s">
        <v>128</v>
      </c>
      <c r="C46" s="15" t="s">
        <v>15</v>
      </c>
      <c r="D46" s="15" t="s">
        <v>30</v>
      </c>
      <c r="E46" s="15" t="s">
        <v>30</v>
      </c>
      <c r="F46" s="15"/>
      <c r="G46" s="15"/>
    </row>
    <row r="47" spans="1:7" ht="16.5">
      <c r="A47" s="15" t="s">
        <v>129</v>
      </c>
      <c r="B47" s="15" t="s">
        <v>130</v>
      </c>
      <c r="C47" s="15" t="s">
        <v>15</v>
      </c>
      <c r="D47" s="15" t="s">
        <v>22</v>
      </c>
      <c r="E47" s="15" t="s">
        <v>23</v>
      </c>
      <c r="F47" s="17"/>
      <c r="G47" s="15" t="s">
        <v>131</v>
      </c>
    </row>
    <row r="48" spans="1:7" ht="15.95">
      <c r="A48" s="15" t="s">
        <v>132</v>
      </c>
      <c r="B48" s="15" t="s">
        <v>133</v>
      </c>
      <c r="C48" s="15" t="s">
        <v>15</v>
      </c>
      <c r="D48" s="15" t="s">
        <v>30</v>
      </c>
      <c r="E48" s="15" t="s">
        <v>30</v>
      </c>
      <c r="F48" s="15"/>
      <c r="G48" s="15"/>
    </row>
    <row r="49" spans="1:7" ht="15.95">
      <c r="A49" s="15" t="s">
        <v>134</v>
      </c>
      <c r="B49" s="15" t="s">
        <v>135</v>
      </c>
      <c r="C49" s="15" t="s">
        <v>15</v>
      </c>
      <c r="D49" s="15" t="s">
        <v>30</v>
      </c>
      <c r="E49" s="15" t="s">
        <v>30</v>
      </c>
      <c r="F49" s="15"/>
      <c r="G49" s="15"/>
    </row>
    <row r="50" spans="1:7" ht="15.95">
      <c r="A50" s="15" t="s">
        <v>136</v>
      </c>
      <c r="B50" s="15" t="s">
        <v>137</v>
      </c>
      <c r="C50" s="15" t="s">
        <v>15</v>
      </c>
      <c r="D50" s="15" t="s">
        <v>30</v>
      </c>
      <c r="E50" s="15" t="s">
        <v>30</v>
      </c>
      <c r="F50" s="15"/>
      <c r="G50" s="15"/>
    </row>
    <row r="51" spans="1:7" ht="33.75">
      <c r="A51" s="15" t="s">
        <v>138</v>
      </c>
      <c r="B51" s="15" t="s">
        <v>139</v>
      </c>
      <c r="C51" s="15" t="s">
        <v>15</v>
      </c>
      <c r="D51" s="15" t="s">
        <v>16</v>
      </c>
      <c r="E51" s="15" t="s">
        <v>17</v>
      </c>
      <c r="F51" s="17" t="s">
        <v>140</v>
      </c>
      <c r="G51" s="15"/>
    </row>
    <row r="52" spans="1:7" ht="15.95">
      <c r="A52" s="15" t="s">
        <v>141</v>
      </c>
      <c r="B52" s="15" t="s">
        <v>142</v>
      </c>
      <c r="C52" s="15" t="s">
        <v>15</v>
      </c>
      <c r="D52" s="15" t="s">
        <v>30</v>
      </c>
      <c r="E52" s="15" t="s">
        <v>30</v>
      </c>
      <c r="F52" s="15"/>
      <c r="G52" s="15"/>
    </row>
    <row r="53" spans="1:7" ht="15.95">
      <c r="A53" s="15" t="s">
        <v>143</v>
      </c>
      <c r="B53" s="15" t="s">
        <v>144</v>
      </c>
      <c r="C53" s="15" t="s">
        <v>21</v>
      </c>
      <c r="D53" s="15" t="s">
        <v>30</v>
      </c>
      <c r="E53" s="15" t="s">
        <v>30</v>
      </c>
      <c r="F53" s="15"/>
      <c r="G53" s="15"/>
    </row>
    <row r="54" spans="1:7" ht="15.95">
      <c r="A54" s="15" t="s">
        <v>145</v>
      </c>
      <c r="B54" s="15" t="s">
        <v>146</v>
      </c>
      <c r="C54" s="15" t="s">
        <v>21</v>
      </c>
      <c r="D54" s="15" t="s">
        <v>30</v>
      </c>
      <c r="E54" s="15" t="s">
        <v>30</v>
      </c>
      <c r="F54" s="15"/>
      <c r="G54" s="15"/>
    </row>
    <row r="55" spans="1:7" ht="15.95">
      <c r="A55" s="15" t="s">
        <v>147</v>
      </c>
      <c r="B55" s="15" t="s">
        <v>148</v>
      </c>
      <c r="C55" s="15" t="s">
        <v>21</v>
      </c>
      <c r="D55" s="15" t="s">
        <v>30</v>
      </c>
      <c r="E55" s="15" t="s">
        <v>30</v>
      </c>
      <c r="F55" s="15"/>
      <c r="G55" s="15"/>
    </row>
    <row r="56" spans="1:7" ht="16.5">
      <c r="A56" s="15" t="s">
        <v>149</v>
      </c>
      <c r="B56" s="15" t="s">
        <v>150</v>
      </c>
      <c r="C56" s="15" t="s">
        <v>21</v>
      </c>
      <c r="D56" s="15" t="s">
        <v>22</v>
      </c>
      <c r="E56" s="15" t="s">
        <v>23</v>
      </c>
      <c r="F56" s="17"/>
      <c r="G56" s="15" t="s">
        <v>151</v>
      </c>
    </row>
    <row r="57" spans="1:7" ht="15.95">
      <c r="A57" s="15" t="s">
        <v>152</v>
      </c>
      <c r="B57" s="15" t="s">
        <v>153</v>
      </c>
      <c r="C57" s="15" t="s">
        <v>21</v>
      </c>
      <c r="D57" s="15" t="s">
        <v>30</v>
      </c>
      <c r="E57" s="15" t="s">
        <v>30</v>
      </c>
      <c r="F57" s="15"/>
      <c r="G57" s="15"/>
    </row>
    <row r="58" spans="1:7" ht="15.95">
      <c r="A58" s="15" t="s">
        <v>154</v>
      </c>
      <c r="B58" s="15" t="s">
        <v>155</v>
      </c>
      <c r="C58" s="15" t="s">
        <v>15</v>
      </c>
      <c r="D58" s="15" t="s">
        <v>30</v>
      </c>
      <c r="E58" s="15" t="s">
        <v>30</v>
      </c>
      <c r="F58" s="15"/>
      <c r="G58" s="15"/>
    </row>
    <row r="59" spans="1:7" ht="15.95">
      <c r="A59" s="15" t="s">
        <v>156</v>
      </c>
      <c r="B59" s="15" t="s">
        <v>157</v>
      </c>
      <c r="C59" s="15" t="s">
        <v>15</v>
      </c>
      <c r="D59" s="15" t="s">
        <v>30</v>
      </c>
      <c r="E59" s="15" t="s">
        <v>30</v>
      </c>
      <c r="F59" s="15"/>
      <c r="G59" s="15"/>
    </row>
    <row r="60" spans="1:7" ht="15.95">
      <c r="A60" s="15" t="s">
        <v>158</v>
      </c>
      <c r="B60" s="15" t="s">
        <v>159</v>
      </c>
      <c r="C60" s="15" t="s">
        <v>15</v>
      </c>
      <c r="D60" s="15" t="s">
        <v>30</v>
      </c>
      <c r="E60" s="15" t="s">
        <v>30</v>
      </c>
      <c r="F60" s="15"/>
      <c r="G60" s="15"/>
    </row>
    <row r="61" spans="1:7" ht="15.95">
      <c r="A61" s="15" t="s">
        <v>160</v>
      </c>
      <c r="B61" s="15" t="s">
        <v>161</v>
      </c>
      <c r="C61" s="15" t="s">
        <v>15</v>
      </c>
      <c r="D61" s="15" t="s">
        <v>22</v>
      </c>
      <c r="E61" s="15" t="s">
        <v>30</v>
      </c>
      <c r="F61" s="15"/>
      <c r="G61" s="15"/>
    </row>
    <row r="62" spans="1:7" ht="15.95">
      <c r="A62" s="15" t="s">
        <v>162</v>
      </c>
      <c r="B62" s="15" t="s">
        <v>163</v>
      </c>
      <c r="C62" s="15" t="s">
        <v>15</v>
      </c>
      <c r="D62" s="15" t="s">
        <v>30</v>
      </c>
      <c r="E62" s="15" t="s">
        <v>30</v>
      </c>
      <c r="F62" s="15"/>
      <c r="G62" s="15"/>
    </row>
    <row r="63" spans="1:7" ht="15.95">
      <c r="A63" s="15" t="s">
        <v>164</v>
      </c>
      <c r="B63" s="15" t="s">
        <v>165</v>
      </c>
      <c r="C63" s="15" t="s">
        <v>15</v>
      </c>
      <c r="D63" s="15" t="s">
        <v>30</v>
      </c>
      <c r="E63" s="15" t="s">
        <v>30</v>
      </c>
      <c r="F63" s="15"/>
      <c r="G63" s="15"/>
    </row>
    <row r="64" spans="1:7" ht="15.95">
      <c r="A64" s="15" t="s">
        <v>166</v>
      </c>
      <c r="B64" s="15" t="s">
        <v>167</v>
      </c>
      <c r="C64" s="15" t="s">
        <v>15</v>
      </c>
      <c r="D64" s="15" t="s">
        <v>30</v>
      </c>
      <c r="E64" s="15" t="s">
        <v>30</v>
      </c>
      <c r="F64" s="15"/>
      <c r="G64" s="15"/>
    </row>
    <row r="65" spans="1:7" ht="16.5">
      <c r="A65" s="15" t="s">
        <v>168</v>
      </c>
      <c r="B65" s="15" t="s">
        <v>169</v>
      </c>
      <c r="C65" s="15" t="s">
        <v>15</v>
      </c>
      <c r="D65" s="15" t="s">
        <v>22</v>
      </c>
      <c r="E65" s="15" t="s">
        <v>23</v>
      </c>
      <c r="F65" s="17"/>
      <c r="G65" s="15" t="s">
        <v>170</v>
      </c>
    </row>
    <row r="66" spans="1:7" ht="15.95">
      <c r="A66" s="15" t="s">
        <v>171</v>
      </c>
      <c r="B66" s="15" t="s">
        <v>172</v>
      </c>
      <c r="C66" s="15" t="s">
        <v>21</v>
      </c>
      <c r="D66" s="15" t="s">
        <v>22</v>
      </c>
      <c r="E66" s="15" t="s">
        <v>23</v>
      </c>
      <c r="F66" s="15"/>
      <c r="G66" s="15" t="s">
        <v>173</v>
      </c>
    </row>
    <row r="67" spans="1:7" ht="15.95">
      <c r="A67" s="15" t="s">
        <v>174</v>
      </c>
      <c r="B67" s="15" t="s">
        <v>175</v>
      </c>
      <c r="C67" s="15" t="s">
        <v>15</v>
      </c>
      <c r="D67" s="15" t="s">
        <v>30</v>
      </c>
      <c r="E67" s="15" t="s">
        <v>30</v>
      </c>
      <c r="F67" s="15"/>
      <c r="G67" s="15"/>
    </row>
    <row r="68" spans="1:7" ht="15.95">
      <c r="A68" s="15" t="s">
        <v>176</v>
      </c>
      <c r="B68" s="15" t="s">
        <v>177</v>
      </c>
      <c r="C68" s="15" t="s">
        <v>15</v>
      </c>
      <c r="D68" s="15" t="s">
        <v>30</v>
      </c>
      <c r="E68" s="15" t="s">
        <v>30</v>
      </c>
      <c r="F68" s="15"/>
      <c r="G68" s="15"/>
    </row>
    <row r="69" spans="1:7" ht="15.95">
      <c r="A69" s="15" t="s">
        <v>178</v>
      </c>
      <c r="B69" s="15" t="s">
        <v>179</v>
      </c>
      <c r="C69" s="15" t="s">
        <v>15</v>
      </c>
      <c r="D69" s="15" t="s">
        <v>30</v>
      </c>
      <c r="E69" s="15" t="s">
        <v>30</v>
      </c>
      <c r="F69" s="15"/>
      <c r="G69" s="15"/>
    </row>
    <row r="70" spans="1:7" ht="15.95">
      <c r="A70" s="15" t="s">
        <v>180</v>
      </c>
      <c r="B70" s="15" t="s">
        <v>181</v>
      </c>
      <c r="C70" s="15" t="s">
        <v>21</v>
      </c>
      <c r="D70" s="15" t="s">
        <v>30</v>
      </c>
      <c r="E70" s="15" t="s">
        <v>30</v>
      </c>
      <c r="F70" s="15"/>
      <c r="G70" s="15"/>
    </row>
    <row r="71" spans="1:7" ht="15.95">
      <c r="A71" s="15" t="s">
        <v>182</v>
      </c>
      <c r="B71" s="15" t="s">
        <v>183</v>
      </c>
      <c r="C71" s="15" t="s">
        <v>15</v>
      </c>
      <c r="D71" s="15" t="s">
        <v>30</v>
      </c>
      <c r="E71" s="15" t="s">
        <v>30</v>
      </c>
      <c r="F71" s="15"/>
      <c r="G71" s="15"/>
    </row>
    <row r="72" spans="1:7" ht="15.95">
      <c r="A72" s="15" t="s">
        <v>184</v>
      </c>
      <c r="B72" s="15" t="s">
        <v>185</v>
      </c>
      <c r="C72" s="15" t="s">
        <v>15</v>
      </c>
      <c r="D72" s="15" t="s">
        <v>30</v>
      </c>
      <c r="E72" s="15" t="s">
        <v>30</v>
      </c>
      <c r="F72" s="15"/>
      <c r="G72" s="15"/>
    </row>
    <row r="73" spans="1:7" ht="15.95">
      <c r="A73" s="15" t="s">
        <v>186</v>
      </c>
      <c r="B73" s="15" t="s">
        <v>187</v>
      </c>
      <c r="C73" s="15" t="s">
        <v>15</v>
      </c>
      <c r="D73" s="15" t="s">
        <v>22</v>
      </c>
      <c r="E73" s="15" t="s">
        <v>23</v>
      </c>
      <c r="F73" s="15"/>
      <c r="G73" s="15" t="s">
        <v>188</v>
      </c>
    </row>
    <row r="74" spans="1:7" ht="15.95">
      <c r="A74" s="15" t="s">
        <v>189</v>
      </c>
      <c r="B74" s="15" t="s">
        <v>190</v>
      </c>
      <c r="C74" s="15" t="s">
        <v>15</v>
      </c>
      <c r="D74" s="15" t="s">
        <v>30</v>
      </c>
      <c r="E74" s="15" t="s">
        <v>30</v>
      </c>
      <c r="F74" s="15"/>
      <c r="G74" s="15"/>
    </row>
    <row r="75" spans="1:7" ht="15.95">
      <c r="A75" s="15" t="s">
        <v>191</v>
      </c>
      <c r="B75" s="15" t="s">
        <v>192</v>
      </c>
      <c r="C75" s="15" t="s">
        <v>15</v>
      </c>
      <c r="D75" s="15" t="s">
        <v>22</v>
      </c>
      <c r="E75" s="15" t="s">
        <v>23</v>
      </c>
      <c r="F75" s="15"/>
      <c r="G75" s="15" t="s">
        <v>193</v>
      </c>
    </row>
    <row r="76" spans="1:7" ht="15.95">
      <c r="A76" s="15" t="s">
        <v>194</v>
      </c>
      <c r="B76" s="15" t="s">
        <v>195</v>
      </c>
      <c r="C76" s="15" t="s">
        <v>15</v>
      </c>
      <c r="D76" s="15" t="s">
        <v>22</v>
      </c>
      <c r="E76" s="15" t="s">
        <v>23</v>
      </c>
      <c r="F76" s="15"/>
      <c r="G76" s="15" t="s">
        <v>196</v>
      </c>
    </row>
    <row r="77" spans="1:7" ht="15.95">
      <c r="A77" s="15" t="s">
        <v>197</v>
      </c>
      <c r="B77" s="15" t="s">
        <v>198</v>
      </c>
      <c r="C77" s="15" t="s">
        <v>21</v>
      </c>
      <c r="D77" s="15" t="s">
        <v>22</v>
      </c>
      <c r="E77" s="15" t="s">
        <v>23</v>
      </c>
      <c r="F77" s="15"/>
      <c r="G77" s="15" t="s">
        <v>199</v>
      </c>
    </row>
    <row r="78" spans="1:7" ht="15.95">
      <c r="A78" s="15" t="s">
        <v>200</v>
      </c>
      <c r="B78" s="15" t="s">
        <v>201</v>
      </c>
      <c r="C78" s="15" t="s">
        <v>15</v>
      </c>
      <c r="D78" s="15" t="s">
        <v>22</v>
      </c>
      <c r="E78" s="15" t="s">
        <v>23</v>
      </c>
      <c r="F78" s="15"/>
      <c r="G78" s="15" t="s">
        <v>202</v>
      </c>
    </row>
    <row r="79" spans="1:7" ht="15.95">
      <c r="A79" s="15" t="s">
        <v>203</v>
      </c>
      <c r="B79" s="15" t="s">
        <v>204</v>
      </c>
      <c r="C79" s="15" t="s">
        <v>15</v>
      </c>
      <c r="D79" s="15" t="s">
        <v>22</v>
      </c>
      <c r="E79" s="15" t="s">
        <v>23</v>
      </c>
      <c r="F79" s="15"/>
      <c r="G79" s="15" t="s">
        <v>205</v>
      </c>
    </row>
    <row r="80" spans="1:7" ht="15.95">
      <c r="A80" s="15" t="s">
        <v>206</v>
      </c>
      <c r="B80" s="15" t="s">
        <v>207</v>
      </c>
      <c r="C80" s="15" t="s">
        <v>15</v>
      </c>
      <c r="D80" s="15" t="s">
        <v>30</v>
      </c>
      <c r="E80" s="15" t="s">
        <v>30</v>
      </c>
      <c r="F80" s="15"/>
      <c r="G80" s="15"/>
    </row>
    <row r="81" spans="4:5" ht="15.95">
      <c r="D81" s="15"/>
      <c r="E81" s="15"/>
    </row>
  </sheetData>
  <dataValidations count="1">
    <dataValidation type="list" allowBlank="1" showInputMessage="1" showErrorMessage="1" sqref="D2:D81" xr:uid="{00000000-0002-0000-0100-000000000000}">
      <formula1>ouinon</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23" operator="equal" id="{A6362E36-B41E-4A73-BEB3-1AB88F91A85E}">
            <xm:f>Référence!$D$9</xm:f>
            <x14:dxf>
              <fill>
                <patternFill>
                  <bgColor rgb="FFC00000"/>
                </patternFill>
              </fill>
            </x14:dxf>
          </x14:cfRule>
          <x14:cfRule type="cellIs" priority="24" operator="equal" id="{94F9821C-3D70-407D-A49C-138B39C3F34F}">
            <xm:f>Référence!$D$8</xm:f>
            <x14:dxf>
              <fill>
                <patternFill>
                  <bgColor rgb="FFFF0000"/>
                </patternFill>
              </fill>
            </x14:dxf>
          </x14:cfRule>
          <x14:cfRule type="cellIs" priority="25" operator="equal" id="{30D431EA-3D7C-4CED-AC15-1388C2326B6D}">
            <xm:f>Référence!$D$7</xm:f>
            <x14:dxf>
              <fill>
                <patternFill>
                  <bgColor rgb="FFFFC000"/>
                </patternFill>
              </fill>
            </x14:dxf>
          </x14:cfRule>
          <x14:cfRule type="beginsWith" priority="26" operator="beginsWith" id="{509725A9-73A0-468A-A7D4-02BAC4512DDE}">
            <xm:f>LEFT(E1,LEN(Référence!$D$6))=Référence!$D$6</xm:f>
            <xm:f>Référence!$D$6</xm:f>
            <x14:dxf>
              <fill>
                <patternFill>
                  <bgColor rgb="FF92D050"/>
                </patternFill>
              </fill>
            </x14:dxf>
          </x14:cfRule>
          <xm:sqref>E1:E1048576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Référence!$D$6:$D$10</xm:f>
          </x14:formula1>
          <xm:sqref>E2:E81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3:C30"/>
  <sheetViews>
    <sheetView workbookViewId="0">
      <selection activeCell="C26" sqref="C26"/>
    </sheetView>
  </sheetViews>
  <sheetFormatPr defaultColWidth="11.42578125" defaultRowHeight="14.1"/>
  <cols>
    <col min="1" max="1" width="11.42578125" style="1"/>
    <col min="2" max="2" width="26.140625" style="1" bestFit="1" customWidth="1"/>
    <col min="3" max="16384" width="11.42578125" style="1"/>
  </cols>
  <sheetData>
    <row r="23" spans="2:3">
      <c r="B23" s="1" t="s">
        <v>208</v>
      </c>
    </row>
    <row r="25" spans="2:3">
      <c r="B25" s="11" t="s">
        <v>209</v>
      </c>
      <c r="C25" s="11" t="s">
        <v>210</v>
      </c>
    </row>
    <row r="26" spans="2:3">
      <c r="B26" s="11" t="s">
        <v>17</v>
      </c>
      <c r="C26" s="11">
        <f>COUNTIF('Recommandations guide ANSSI'!E:E,B26)</f>
        <v>12</v>
      </c>
    </row>
    <row r="27" spans="2:3">
      <c r="B27" s="11" t="s">
        <v>211</v>
      </c>
      <c r="C27" s="11">
        <f>COUNTIF('Recommandations guide ANSSI'!E:E,B27)</f>
        <v>0</v>
      </c>
    </row>
    <row r="28" spans="2:3">
      <c r="B28" s="11" t="s">
        <v>212</v>
      </c>
      <c r="C28" s="11">
        <f>COUNTIF('Recommandations guide ANSSI'!E:E,B28)</f>
        <v>0</v>
      </c>
    </row>
    <row r="29" spans="2:3">
      <c r="B29" s="11" t="s">
        <v>23</v>
      </c>
      <c r="C29" s="11">
        <f>COUNTIF('Recommandations guide ANSSI'!E:E,B29)</f>
        <v>18</v>
      </c>
    </row>
    <row r="30" spans="2:3">
      <c r="B30" s="11" t="s">
        <v>30</v>
      </c>
      <c r="C30" s="11">
        <f>COUNTIF('Recommandations guide ANSSI'!E:E,B30)</f>
        <v>49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0"/>
  <sheetViews>
    <sheetView workbookViewId="0">
      <selection activeCell="H3" sqref="H3:I10"/>
    </sheetView>
  </sheetViews>
  <sheetFormatPr defaultColWidth="11.42578125" defaultRowHeight="14.1"/>
  <cols>
    <col min="1" max="1" width="5.28515625" style="1" customWidth="1"/>
    <col min="2" max="2" width="28.85546875" style="1" customWidth="1"/>
    <col min="3" max="3" width="5.42578125" style="1" customWidth="1"/>
    <col min="4" max="4" width="27.42578125" style="1" bestFit="1" customWidth="1"/>
    <col min="5" max="5" width="11.42578125" style="1"/>
    <col min="6" max="6" width="26.140625" style="1" bestFit="1" customWidth="1"/>
    <col min="7" max="7" width="8.85546875" style="1" customWidth="1"/>
    <col min="8" max="9" width="25.7109375" style="1" bestFit="1" customWidth="1"/>
    <col min="10" max="16384" width="11.42578125" style="1"/>
  </cols>
  <sheetData>
    <row r="2" spans="2:4">
      <c r="B2" s="1" t="s">
        <v>213</v>
      </c>
    </row>
    <row r="3" spans="2:4">
      <c r="B3" s="9" t="s">
        <v>214</v>
      </c>
    </row>
    <row r="5" spans="2:4" ht="30">
      <c r="B5" s="10" t="s">
        <v>9</v>
      </c>
      <c r="C5" s="3"/>
      <c r="D5" s="3" t="s">
        <v>10</v>
      </c>
    </row>
    <row r="6" spans="2:4">
      <c r="B6" s="12" t="s">
        <v>16</v>
      </c>
      <c r="D6" s="12" t="s">
        <v>17</v>
      </c>
    </row>
    <row r="7" spans="2:4">
      <c r="B7" s="12" t="s">
        <v>22</v>
      </c>
      <c r="D7" s="12" t="s">
        <v>211</v>
      </c>
    </row>
    <row r="8" spans="2:4">
      <c r="B8" s="12" t="s">
        <v>30</v>
      </c>
      <c r="D8" s="12" t="s">
        <v>212</v>
      </c>
    </row>
    <row r="9" spans="2:4">
      <c r="D9" s="12" t="s">
        <v>23</v>
      </c>
    </row>
    <row r="10" spans="2:4">
      <c r="D10" s="12" t="s">
        <v>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2020-12-17T16:46:37Z</dcterms:created>
  <dcterms:modified xsi:type="dcterms:W3CDTF">2026-03-30T12:34:05Z</dcterms:modified>
  <cp:category/>
  <cp:contentStatus/>
</cp:coreProperties>
</file>